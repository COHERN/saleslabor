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MONTH 1" sheetId="3" state="visible" r:id="rId5"/>
    <sheet name="MONTH 2" sheetId="4" state="visible" r:id="rId6"/>
    <sheet name="MONTH 3" sheetId="5" state="visible" r:id="rId7"/>
    <sheet name="MONTH 4" sheetId="6" state="visible" r:id="rId8"/>
    <sheet name="Q1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<sst xmlns="http://schemas.openxmlformats.org/spreadsheetml/2006/main" count="491" uniqueCount="133">
  <si>
    <t xml:space="preserve">STORE LABOR &amp; SALES TRACKER  |  INSTRUCTIONS</t>
  </si>
  <si>
    <t xml:space="preserve">OVERVIEW</t>
  </si>
  <si>
    <t xml:space="preserve">Track and manage store labor and sales by department.</t>
  </si>
  <si>
    <t xml:space="preserve">Enter forecasts before the quarter. Update actuals as you go.</t>
  </si>
  <si>
    <t xml:space="preserve">The tracker tells you exactly where you stand and what to do.</t>
  </si>
  <si>
    <t xml:space="preserve">SHEET LAYOUT</t>
  </si>
  <si>
    <t xml:space="preserve">INSTRUCTIONS</t>
  </si>
  <si>
    <t xml:space="preserve">-&gt;  You are here</t>
  </si>
  <si>
    <t xml:space="preserve">DASHBOARD</t>
  </si>
  <si>
    <t xml:space="preserve">-&gt;  Quarter at a glance — start every check-in here</t>
  </si>
  <si>
    <t xml:space="preserve">MONTH 1–4</t>
  </si>
  <si>
    <t xml:space="preserve">-&gt;  Full dept detail — Forecast, Actual &amp; Variance</t>
  </si>
  <si>
    <t xml:space="preserve">Q1 SUMMARY</t>
  </si>
  <si>
    <t xml:space="preserve">-&gt;  Auto-totals all months. Full quarter view</t>
  </si>
  <si>
    <t xml:space="preserve">COLOR CODING</t>
  </si>
  <si>
    <t xml:space="preserve">INPUT CELLS</t>
  </si>
  <si>
    <t xml:space="preserve">The only cells you type in</t>
  </si>
  <si>
    <t xml:space="preserve">CALCULATED CELLS</t>
  </si>
  <si>
    <t xml:space="preserve">Auto-calculated. Do not edit</t>
  </si>
  <si>
    <t xml:space="preserve">LINKED CELLS</t>
  </si>
  <si>
    <t xml:space="preserve">Pulling from another sheet. Do not edit</t>
  </si>
  <si>
    <t xml:space="preserve">GOOD!</t>
  </si>
  <si>
    <t xml:space="preserve">You are making labor</t>
  </si>
  <si>
    <t xml:space="preserve">BAD!</t>
  </si>
  <si>
    <t xml:space="preserve">You are missing labor</t>
  </si>
  <si>
    <t xml:space="preserve">WHAT TO ENTER — FORECAST</t>
  </si>
  <si>
    <t xml:space="preserve">PROJECTED SALES</t>
  </si>
  <si>
    <t xml:space="preserve">Expected sales for that department that month</t>
  </si>
  <si>
    <t xml:space="preserve">LABOR %</t>
  </si>
  <si>
    <t xml:space="preserve">Target labor as a percentage of that department sales</t>
  </si>
  <si>
    <t xml:space="preserve">AVG HOURLY RATE</t>
  </si>
  <si>
    <t xml:space="preserve">Average hourly wage for that department</t>
  </si>
  <si>
    <t xml:space="preserve">FRONT END: No sales entry — Labor % is entered as % of total store sales.</t>
  </si>
  <si>
    <t xml:space="preserve">WEEKS IN QUARTER</t>
  </si>
  <si>
    <t xml:space="preserve">Enter 13 or 17 on the Q1 Summary page</t>
  </si>
  <si>
    <t xml:space="preserve">WHAT TO ENTER — ACTUALS</t>
  </si>
  <si>
    <t xml:space="preserve">ACTUAL SALES</t>
  </si>
  <si>
    <t xml:space="preserve">Real sales for that department that month</t>
  </si>
  <si>
    <t xml:space="preserve">ACTUAL LABOR %</t>
  </si>
  <si>
    <t xml:space="preserve">Real labor percentage based on what was spent</t>
  </si>
  <si>
    <t xml:space="preserve">ACTUAL HOURLY RATE</t>
  </si>
  <si>
    <t xml:space="preserve">Real average hourly rate paid that month</t>
  </si>
  <si>
    <t xml:space="preserve">AUTO-CALCULATED</t>
  </si>
  <si>
    <t xml:space="preserve">FORECAST LABOR $</t>
  </si>
  <si>
    <t xml:space="preserve">Projected Sales x Labor %</t>
  </si>
  <si>
    <t xml:space="preserve">FORECAST HOURS</t>
  </si>
  <si>
    <t xml:space="preserve">Forecast Labor $ / Avg Hourly Rate</t>
  </si>
  <si>
    <t xml:space="preserve">ACTUAL LABOR $</t>
  </si>
  <si>
    <t xml:space="preserve">Actual Sales x Actual Labor %</t>
  </si>
  <si>
    <t xml:space="preserve">ACTUAL HOURS USED</t>
  </si>
  <si>
    <t xml:space="preserve">Actual Labor $ / Actual Avg Hourly Rate</t>
  </si>
  <si>
    <t xml:space="preserve">AVG WAGE</t>
  </si>
  <si>
    <t xml:space="preserve">Actual Labor $ / Actual Hours Used</t>
  </si>
  <si>
    <t xml:space="preserve">LABOR $ VARIANCE</t>
  </si>
  <si>
    <t xml:space="preserve">Actual Labor $ vs Forecast Labor $</t>
  </si>
  <si>
    <t xml:space="preserve">HOURS TO TRIM / AVAILABLE</t>
  </si>
  <si>
    <t xml:space="preserve">Labor $ Variance / Avg Hourly Rate</t>
  </si>
  <si>
    <t xml:space="preserve">STORE WEIGHTED LAB%</t>
  </si>
  <si>
    <t xml:space="preserve">Total Store Labor $ / Total Store Sales</t>
  </si>
  <si>
    <t xml:space="preserve">STORE AVG WAGE</t>
  </si>
  <si>
    <t xml:space="preserve">Total Store Labor $ / Total Store Hours Used</t>
  </si>
  <si>
    <t xml:space="preserve">WEEKLY AVG SALES</t>
  </si>
  <si>
    <t xml:space="preserve">Q1 Total Sales / Weeks in Quarter</t>
  </si>
  <si>
    <t xml:space="preserve">FRONT END LABOR $</t>
  </si>
  <si>
    <t xml:space="preserve">Front End Lab% x Total Store Sales</t>
  </si>
  <si>
    <t xml:space="preserve">QUARTERLY SETUP</t>
  </si>
  <si>
    <t xml:space="preserve">[x] Download and rename the file  (e.g. Store_1234_Q2_2025.xlsx)</t>
  </si>
  <si>
    <t xml:space="preserve">[x] Enter Weeks in Quarter on the Summary page</t>
  </si>
  <si>
    <t xml:space="preserve">[x] Enter Forecast per dept in each monthly sheet</t>
  </si>
  <si>
    <t xml:space="preserve">[x] Leave Month 4 blank if quarter only has 3 months</t>
  </si>
  <si>
    <t xml:space="preserve">[x] Update Actuals regularly throughout the quarter</t>
  </si>
  <si>
    <t xml:space="preserve">TIPS</t>
  </si>
  <si>
    <t xml:space="preserve">*  Only type in BLUE cells.</t>
  </si>
  <si>
    <t xml:space="preserve">*  Check Dashboard first — it tells the full story.</t>
  </si>
  <si>
    <t xml:space="preserve">*  BAD! on one dept does not mean the store is over — check Store Total.</t>
  </si>
  <si>
    <t xml:space="preserve">*  Front End labor is in Store Total but NOT in Store Total sales.</t>
  </si>
  <si>
    <t xml:space="preserve">*  Fill Month 4 if quarter has 4 months — Summary updates automatically.</t>
  </si>
  <si>
    <t xml:space="preserve">STORE LABOR &amp; SALES TRACKER  |  QUARTERLY DASHBOARD</t>
  </si>
  <si>
    <t xml:space="preserve">QUARTER AT A GLANCE</t>
  </si>
  <si>
    <t xml:space="preserve">Q1 FORECAST</t>
  </si>
  <si>
    <t xml:space="preserve">Q1 ACTUAL</t>
  </si>
  <si>
    <t xml:space="preserve">VARIANCE</t>
  </si>
  <si>
    <t xml:space="preserve">STATUS</t>
  </si>
  <si>
    <t xml:space="preserve">TOTAL SALES</t>
  </si>
  <si>
    <t xml:space="preserve">TOTAL LABOR $</t>
  </si>
  <si>
    <t xml:space="preserve">"-"</t>
  </si>
  <si>
    <t xml:space="preserve">DEPARTMENT SCORECARD</t>
  </si>
  <si>
    <t xml:space="preserve">DEPARTMENT</t>
  </si>
  <si>
    <t xml:space="preserve">Q1 FORECAST LAB$</t>
  </si>
  <si>
    <t xml:space="preserve">Q1 ACTUAL LAB$</t>
  </si>
  <si>
    <t xml:space="preserve">ACTUAL LAB%</t>
  </si>
  <si>
    <t xml:space="preserve">Q1 ACTION</t>
  </si>
  <si>
    <t xml:space="preserve">GROCERY</t>
  </si>
  <si>
    <t xml:space="preserve">MEAT</t>
  </si>
  <si>
    <t xml:space="preserve">SEAFOOD</t>
  </si>
  <si>
    <t xml:space="preserve">PRODUCE</t>
  </si>
  <si>
    <t xml:space="preserve">DELI</t>
  </si>
  <si>
    <t xml:space="preserve">BAKERY</t>
  </si>
  <si>
    <t xml:space="preserve">FLORAL</t>
  </si>
  <si>
    <t xml:space="preserve">STARBUCKS</t>
  </si>
  <si>
    <t xml:space="preserve">ECOM</t>
  </si>
  <si>
    <t xml:space="preserve">FRONT END</t>
  </si>
  <si>
    <t xml:space="preserve">STORE TOTAL</t>
  </si>
  <si>
    <t xml:space="preserve">MONTH 1  |  STORE LABOR &amp; SALES TRACKER</t>
  </si>
  <si>
    <t xml:space="preserve">STORE AT A GLANCE</t>
  </si>
  <si>
    <t xml:space="preserve">FORECAST</t>
  </si>
  <si>
    <t xml:space="preserve">ACTUAL</t>
  </si>
  <si>
    <t xml:space="preserve">TOTAL HOURS</t>
  </si>
  <si>
    <t xml:space="preserve">DEPARTMENT SUMMARY</t>
  </si>
  <si>
    <t xml:space="preserve">FORECAST LAB$</t>
  </si>
  <si>
    <t xml:space="preserve">ACTUAL LAB$</t>
  </si>
  <si>
    <t xml:space="preserve">VAR LAB$</t>
  </si>
  <si>
    <t xml:space="preserve">VAR LAB%</t>
  </si>
  <si>
    <t xml:space="preserve">ACTION</t>
  </si>
  <si>
    <t xml:space="preserve">FULL DEPARTMENT DETAIL</t>
  </si>
  <si>
    <t xml:space="preserve">SALES</t>
  </si>
  <si>
    <t xml:space="preserve">HRLY RATE</t>
  </si>
  <si>
    <t xml:space="preserve">LABOR $</t>
  </si>
  <si>
    <t xml:space="preserve">HOURS</t>
  </si>
  <si>
    <t xml:space="preserve">FRONT END — LABOR ONLY</t>
  </si>
  <si>
    <t xml:space="preserve">MONTH 2  |  STORE LABOR &amp; SALES TRACKER</t>
  </si>
  <si>
    <t xml:space="preserve">MONTH 3  |  STORE LABOR &amp; SALES TRACKER</t>
  </si>
  <si>
    <t xml:space="preserve">MONTH 4  |  STORE LABOR &amp; SALES TRACKER</t>
  </si>
  <si>
    <t xml:space="preserve">Q1 SUMMARY  |  STORE LABOR &amp; SALES TRACKER</t>
  </si>
  <si>
    <t xml:space="preserve">WEEKS IN QUARTER:</t>
  </si>
  <si>
    <t xml:space="preserve">Enter 13 for standard quarter or 17 for 5-week quarter</t>
  </si>
  <si>
    <t xml:space="preserve">QUARTERLY PERFORMANCE BY DEPARTMENT</t>
  </si>
  <si>
    <t xml:space="preserve">STATUS / ACTION</t>
  </si>
  <si>
    <t xml:space="preserve">LAB$ VAR</t>
  </si>
  <si>
    <t xml:space="preserve">LAB% VAR</t>
  </si>
  <si>
    <t xml:space="preserve">SALES/WK</t>
  </si>
  <si>
    <t xml:space="preserve">-</t>
  </si>
  <si>
    <t xml:space="preserve">STORE Q1 AVG WAGE: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</si>
</sst>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;\(0.00%\);\-"/>
    <numFmt numFmtId="167" formatCode="\$#,##0.00"/>
    <numFmt numFmtId="168" formatCode="0.00%"/>
    <numFmt numFmtId="169" formatCode="#,##0"/>
    <numFmt numFmtId="170" formatCode="#,##0;\(#,##0\);\-"/>
    <numFmt numFmtId="171" formatCode="\$#,##0"/>
    <numFmt numFmtId="172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ourier New"/>
      <family val="0"/>
      <charset val="1"/>
    </font>
    <font>
      <b val="true"/>
      <sz val="11"/>
      <color rgb="FF00529F"/>
      <name val="Courier New"/>
      <family val="0"/>
      <charset val="1"/>
    </font>
    <font>
      <sz val="10"/>
      <color rgb="FF231F20"/>
      <name val="Courier New"/>
      <family val="0"/>
      <charset val="1"/>
    </font>
    <font>
      <b val="true"/>
      <sz val="10"/>
      <color rgb="FF00529F"/>
      <name val="Courier New"/>
      <family val="0"/>
      <charset val="1"/>
    </font>
    <font>
      <b val="true"/>
      <sz val="10"/>
      <color rgb="FF231F20"/>
      <name val="Courier New"/>
      <family val="0"/>
      <charset val="1"/>
    </font>
    <font>
      <b val="true"/>
      <sz val="10"/>
      <color rgb="FF009FE0"/>
      <name val="Courier New"/>
      <family val="0"/>
      <charset val="1"/>
    </font>
    <font>
      <b val="true"/>
      <sz val="10"/>
      <color rgb="FF1A6B32"/>
      <name val="Courier New"/>
      <family val="0"/>
      <charset val="1"/>
    </font>
    <font>
      <b val="true"/>
      <sz val="10"/>
      <color rgb="FFD6232A"/>
      <name val="Courier New"/>
      <family val="0"/>
      <charset val="1"/>
    </font>
    <font>
      <sz val="10"/>
      <color rgb="FF1A6B32"/>
      <name val="Courier New"/>
      <family val="0"/>
      <charset val="1"/>
    </font>
    <font>
      <b val="true"/>
      <sz val="13"/>
      <color rgb="FFFFFFFF"/>
      <name val="Courier New"/>
      <family val="0"/>
      <charset val="1"/>
    </font>
    <font>
      <b val="true"/>
      <sz val="10"/>
      <color rgb="FFFFFFFF"/>
      <name val="Courier New"/>
      <family val="0"/>
      <charset val="1"/>
    </font>
    <font>
      <sz val="10"/>
      <color rgb="FF009FE0"/>
      <name val="Courier New"/>
      <family val="0"/>
      <charset val="1"/>
    </font>
    <font>
      <sz val="10"/>
      <color rgb="FF00529F"/>
      <name val="Courier New"/>
      <family val="0"/>
      <charset val="1"/>
    </font>
    <font>
      <b val="true"/>
      <sz val="11"/>
      <color rgb="FFFFFFFF"/>
      <name val="Courier New"/>
      <family val="0"/>
      <charset val="1"/>
    </font>
    <font>
      <sz val="9"/>
      <color rgb="FF595959"/>
      <name val="Courier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29F"/>
        <bgColor rgb="FF003366"/>
      </patternFill>
    </fill>
    <fill>
      <patternFill patternType="solid">
        <fgColor rgb="FF231F20"/>
        <bgColor rgb="FF003300"/>
      </patternFill>
    </fill>
    <fill>
      <patternFill patternType="solid">
        <fgColor rgb="FFD9D9D9"/>
        <bgColor rgb="FFFADBD8"/>
      </patternFill>
    </fill>
    <fill>
      <patternFill patternType="solid">
        <fgColor rgb="FFF2F2F2"/>
        <bgColor rgb="FFE0F4FC"/>
      </patternFill>
    </fill>
    <fill>
      <patternFill patternType="solid">
        <fgColor rgb="FFE0F4F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29F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ourier New"/>
        <charset val="1"/>
        <family val="0"/>
        <b val="1"/>
        <color rgb="FF276221"/>
        <sz val="10"/>
      </font>
      <fill>
        <patternFill>
          <bgColor rgb="FFC6EFCE"/>
        </patternFill>
      </fill>
    </dxf>
    <dxf>
      <font>
        <name val="Courier New"/>
        <charset val="1"/>
        <family val="0"/>
        <b val="1"/>
        <color rgb="FF231F20"/>
        <sz val="10"/>
      </font>
      <fill>
        <patternFill>
          <bgColor rgb="FFFFC000"/>
        </patternFill>
      </fill>
    </dxf>
    <dxf>
      <font>
        <name val="Courier New"/>
        <charset val="1"/>
        <family val="0"/>
        <b val="1"/>
        <color rgb="FFD6232A"/>
        <sz val="10"/>
      </font>
      <fill>
        <patternFill>
          <bgColor rgb="FFFADBD8"/>
        </patternFill>
      </fill>
    </dxf>
  </dxfs>
  <colors>
    <indexedColors>
      <rgbColor rgb="FF000000"/>
      <rgbColor rgb="FFFFFFFF"/>
      <rgbColor rgb="FFD6232A"/>
      <rgbColor rgb="FF00FF00"/>
      <rgbColor rgb="FF0000FF"/>
      <rgbColor rgb="FFFFFF00"/>
      <rgbColor rgb="FFFF00FF"/>
      <rgbColor rgb="FF00FFFF"/>
      <rgbColor rgb="FF800000"/>
      <rgbColor rgb="FF1A6B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0F4FC"/>
      <rgbColor rgb="FF660066"/>
      <rgbColor rgb="FFFF8080"/>
      <rgbColor rgb="FF00529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0"/>
      <rgbColor rgb="FFCCFFFF"/>
      <rgbColor rgb="FFC6EFCE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276221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29F"/>
    <pageSetUpPr fitToPage="false"/>
  </sheetPr>
  <dimension ref="A1:C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4"/>
    <col collapsed="false" customWidth="true" hidden="false" outlineLevel="0" max="7" min="4" style="0" width="5"/>
  </cols>
  <sheetData>
    <row r="1" customFormat="false" ht="24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4" t="s">
        <v>6</v>
      </c>
      <c r="C9" s="3" t="s">
        <v>7</v>
      </c>
    </row>
    <row r="10" customFormat="false" ht="15" hidden="false" customHeight="false" outlineLevel="0" collapsed="false">
      <c r="B10" s="4" t="s">
        <v>8</v>
      </c>
      <c r="C10" s="3" t="s">
        <v>9</v>
      </c>
    </row>
    <row r="11" customFormat="false" ht="15" hidden="false" customHeight="false" outlineLevel="0" collapsed="false">
      <c r="B11" s="4" t="s">
        <v>10</v>
      </c>
      <c r="C11" s="3" t="s">
        <v>11</v>
      </c>
    </row>
    <row r="12" customFormat="false" ht="15" hidden="false" customHeight="false" outlineLevel="0" collapsed="false">
      <c r="B12" s="4" t="s">
        <v>12</v>
      </c>
      <c r="C12" s="3" t="s">
        <v>13</v>
      </c>
    </row>
    <row r="14" customFormat="false" ht="15" hidden="false" customHeight="false" outlineLevel="0" collapsed="false">
      <c r="B14" s="2" t="s">
        <v>14</v>
      </c>
    </row>
    <row r="15" customFormat="false" ht="15" hidden="false" customHeight="false" outlineLevel="0" collapsed="false">
      <c r="B15" s="4" t="s">
        <v>15</v>
      </c>
      <c r="C15" s="3" t="s">
        <v>16</v>
      </c>
    </row>
    <row r="16" customFormat="false" ht="15" hidden="false" customHeight="false" outlineLevel="0" collapsed="false">
      <c r="B16" s="5" t="s">
        <v>17</v>
      </c>
      <c r="C16" s="3" t="s">
        <v>18</v>
      </c>
    </row>
    <row r="17" customFormat="false" ht="15" hidden="false" customHeight="false" outlineLevel="0" collapsed="false">
      <c r="B17" s="6" t="s">
        <v>19</v>
      </c>
      <c r="C17" s="3" t="s">
        <v>20</v>
      </c>
    </row>
    <row r="18" customFormat="false" ht="15" hidden="false" customHeight="false" outlineLevel="0" collapsed="false">
      <c r="B18" s="7" t="s">
        <v>21</v>
      </c>
      <c r="C18" s="3" t="s">
        <v>22</v>
      </c>
    </row>
    <row r="19" customFormat="false" ht="15" hidden="false" customHeight="false" outlineLevel="0" collapsed="false">
      <c r="B19" s="8" t="s">
        <v>23</v>
      </c>
      <c r="C19" s="3" t="s">
        <v>24</v>
      </c>
    </row>
    <row r="21" customFormat="false" ht="15" hidden="false" customHeight="false" outlineLevel="0" collapsed="false">
      <c r="B21" s="2" t="s">
        <v>25</v>
      </c>
    </row>
    <row r="22" customFormat="false" ht="15" hidden="false" customHeight="false" outlineLevel="0" collapsed="false">
      <c r="B22" s="4" t="s">
        <v>26</v>
      </c>
      <c r="C22" s="3" t="s">
        <v>27</v>
      </c>
    </row>
    <row r="23" customFormat="false" ht="15" hidden="false" customHeight="false" outlineLevel="0" collapsed="false">
      <c r="B23" s="4" t="s">
        <v>28</v>
      </c>
      <c r="C23" s="3" t="s">
        <v>29</v>
      </c>
    </row>
    <row r="24" customFormat="false" ht="15" hidden="false" customHeight="false" outlineLevel="0" collapsed="false">
      <c r="B24" s="4" t="s">
        <v>30</v>
      </c>
      <c r="C24" s="3" t="s">
        <v>31</v>
      </c>
    </row>
    <row r="26" customFormat="false" ht="15" hidden="false" customHeight="false" outlineLevel="0" collapsed="false">
      <c r="B26" s="5" t="s">
        <v>32</v>
      </c>
    </row>
    <row r="27" customFormat="false" ht="15" hidden="false" customHeight="false" outlineLevel="0" collapsed="false">
      <c r="B27" s="4" t="s">
        <v>33</v>
      </c>
      <c r="C27" s="3" t="s">
        <v>34</v>
      </c>
    </row>
    <row r="29" customFormat="false" ht="15" hidden="false" customHeight="false" outlineLevel="0" collapsed="false">
      <c r="B29" s="2" t="s">
        <v>35</v>
      </c>
    </row>
    <row r="30" customFormat="false" ht="15" hidden="false" customHeight="false" outlineLevel="0" collapsed="false">
      <c r="B30" s="4" t="s">
        <v>36</v>
      </c>
      <c r="C30" s="3" t="s">
        <v>37</v>
      </c>
    </row>
    <row r="31" customFormat="false" ht="15" hidden="false" customHeight="false" outlineLevel="0" collapsed="false">
      <c r="B31" s="4" t="s">
        <v>38</v>
      </c>
      <c r="C31" s="3" t="s">
        <v>39</v>
      </c>
    </row>
    <row r="32" customFormat="false" ht="15" hidden="false" customHeight="false" outlineLevel="0" collapsed="false">
      <c r="B32" s="4" t="s">
        <v>40</v>
      </c>
      <c r="C32" s="3" t="s">
        <v>41</v>
      </c>
    </row>
    <row r="34" customFormat="false" ht="15" hidden="false" customHeight="false" outlineLevel="0" collapsed="false">
      <c r="B34" s="2" t="s">
        <v>42</v>
      </c>
    </row>
    <row r="35" customFormat="false" ht="15" hidden="false" customHeight="false" outlineLevel="0" collapsed="false">
      <c r="B35" s="3" t="s">
        <v>43</v>
      </c>
      <c r="C35" s="3" t="s">
        <v>44</v>
      </c>
    </row>
    <row r="36" customFormat="false" ht="15" hidden="false" customHeight="false" outlineLevel="0" collapsed="false">
      <c r="B36" s="3" t="s">
        <v>45</v>
      </c>
      <c r="C36" s="3" t="s">
        <v>46</v>
      </c>
    </row>
    <row r="37" customFormat="false" ht="15" hidden="false" customHeight="false" outlineLevel="0" collapsed="false">
      <c r="B37" s="3" t="s">
        <v>47</v>
      </c>
      <c r="C37" s="3" t="s">
        <v>48</v>
      </c>
    </row>
    <row r="38" customFormat="false" ht="15" hidden="false" customHeight="false" outlineLevel="0" collapsed="false">
      <c r="B38" s="3" t="s">
        <v>49</v>
      </c>
      <c r="C38" s="3" t="s">
        <v>50</v>
      </c>
    </row>
    <row r="39" customFormat="false" ht="15" hidden="false" customHeight="false" outlineLevel="0" collapsed="false">
      <c r="B39" s="3" t="s">
        <v>51</v>
      </c>
      <c r="C39" s="3" t="s">
        <v>52</v>
      </c>
    </row>
    <row r="40" customFormat="false" ht="15" hidden="false" customHeight="false" outlineLevel="0" collapsed="false">
      <c r="B40" s="3" t="s">
        <v>53</v>
      </c>
      <c r="C40" s="3" t="s">
        <v>54</v>
      </c>
    </row>
    <row r="41" customFormat="false" ht="15" hidden="false" customHeight="false" outlineLevel="0" collapsed="false">
      <c r="B41" s="3" t="s">
        <v>55</v>
      </c>
      <c r="C41" s="3" t="s">
        <v>56</v>
      </c>
    </row>
    <row r="42" customFormat="false" ht="15" hidden="false" customHeight="false" outlineLevel="0" collapsed="false">
      <c r="B42" s="3" t="s">
        <v>57</v>
      </c>
      <c r="C42" s="3" t="s">
        <v>58</v>
      </c>
    </row>
    <row r="43" customFormat="false" ht="15" hidden="false" customHeight="false" outlineLevel="0" collapsed="false">
      <c r="B43" s="3" t="s">
        <v>59</v>
      </c>
      <c r="C43" s="3" t="s">
        <v>60</v>
      </c>
    </row>
    <row r="44" customFormat="false" ht="15" hidden="false" customHeight="false" outlineLevel="0" collapsed="false">
      <c r="B44" s="3" t="s">
        <v>61</v>
      </c>
      <c r="C44" s="3" t="s">
        <v>62</v>
      </c>
    </row>
    <row r="45" customFormat="false" ht="15" hidden="false" customHeight="false" outlineLevel="0" collapsed="false">
      <c r="B45" s="3" t="s">
        <v>63</v>
      </c>
      <c r="C45" s="3" t="s">
        <v>64</v>
      </c>
    </row>
    <row r="47" customFormat="false" ht="15" hidden="false" customHeight="false" outlineLevel="0" collapsed="false">
      <c r="B47" s="2" t="s">
        <v>65</v>
      </c>
    </row>
    <row r="48" customFormat="false" ht="15" hidden="false" customHeight="false" outlineLevel="0" collapsed="false">
      <c r="B48" s="9" t="s">
        <v>66</v>
      </c>
    </row>
    <row r="49" customFormat="false" ht="15" hidden="false" customHeight="false" outlineLevel="0" collapsed="false">
      <c r="B49" s="9" t="s">
        <v>67</v>
      </c>
    </row>
    <row r="50" customFormat="false" ht="15" hidden="false" customHeight="false" outlineLevel="0" collapsed="false">
      <c r="B50" s="9" t="s">
        <v>68</v>
      </c>
    </row>
    <row r="51" customFormat="false" ht="15" hidden="false" customHeight="false" outlineLevel="0" collapsed="false">
      <c r="B51" s="9" t="s">
        <v>69</v>
      </c>
    </row>
    <row r="52" customFormat="false" ht="15" hidden="false" customHeight="false" outlineLevel="0" collapsed="false">
      <c r="B52" s="9" t="s">
        <v>70</v>
      </c>
    </row>
    <row r="54" customFormat="false" ht="15" hidden="false" customHeight="false" outlineLevel="0" collapsed="false">
      <c r="B54" s="2" t="s">
        <v>71</v>
      </c>
    </row>
    <row r="55" customFormat="false" ht="15" hidden="false" customHeight="false" outlineLevel="0" collapsed="false">
      <c r="B55" s="3" t="s">
        <v>72</v>
      </c>
    </row>
    <row r="56" customFormat="false" ht="15" hidden="false" customHeight="false" outlineLevel="0" collapsed="false">
      <c r="B56" s="3" t="s">
        <v>73</v>
      </c>
    </row>
    <row r="57" customFormat="false" ht="15" hidden="false" customHeight="false" outlineLevel="0" collapsed="false">
      <c r="B57" s="3" t="s">
        <v>74</v>
      </c>
    </row>
    <row r="58" customFormat="false" ht="15" hidden="false" customHeight="false" outlineLevel="0" collapsed="false">
      <c r="B58" s="3" t="s">
        <v>75</v>
      </c>
    </row>
    <row r="59" customFormat="false" ht="15" hidden="false" customHeight="false" outlineLevel="0" collapsed="false">
      <c r="B59" s="3" t="s">
        <v>76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20"/>
    <col collapsed="false" customWidth="true" hidden="false" outlineLevel="0" max="5" min="5" style="0" width="15"/>
    <col collapsed="false" customWidth="true" hidden="false" outlineLevel="0" max="6" min="6" style="0" width="42"/>
  </cols>
  <sheetData>
    <row r="1" customFormat="false" ht="24.75" hidden="false" customHeight="true" outlineLevel="0" collapsed="false">
      <c r="A1" s="10" t="s">
        <v>77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 t="s">
        <v>78</v>
      </c>
      <c r="B3" s="11"/>
      <c r="C3" s="11"/>
      <c r="D3" s="11"/>
      <c r="E3" s="11"/>
      <c r="F3" s="11"/>
    </row>
    <row r="4" customFormat="false" ht="15" hidden="false" customHeight="false" outlineLevel="0" collapsed="false">
      <c r="A4" s="12"/>
      <c r="B4" s="13" t="s">
        <v>79</v>
      </c>
      <c r="C4" s="13" t="s">
        <v>80</v>
      </c>
      <c r="D4" s="13" t="s">
        <v>81</v>
      </c>
      <c r="E4" s="13" t="s">
        <v>82</v>
      </c>
      <c r="F4" s="13"/>
    </row>
    <row r="5" customFormat="false" ht="15" hidden="false" customHeight="false" outlineLevel="0" collapsed="false">
      <c r="A5" s="14" t="s">
        <v>83</v>
      </c>
      <c r="B5" s="15" t="n">
        <f aca="false">'Q1 SUMMARY'!B19</f>
        <v>6189740</v>
      </c>
      <c r="C5" s="15" t="n">
        <f aca="false">'Q1 SUMMARY'!C19</f>
        <v>0</v>
      </c>
      <c r="D5" s="15" t="n">
        <f aca="false">'Q1 SUMMARY'!H19</f>
        <v>-797857.486</v>
      </c>
    </row>
    <row r="6" customFormat="false" ht="15" hidden="false" customHeight="false" outlineLevel="0" collapsed="false">
      <c r="A6" s="5" t="s">
        <v>84</v>
      </c>
      <c r="B6" s="15" t="n">
        <f aca="false">'Q1 SUMMARY'!D19</f>
        <v>797857.486</v>
      </c>
      <c r="C6" s="15" t="n">
        <f aca="false">'Q1 SUMMARY'!E19</f>
        <v>0</v>
      </c>
      <c r="D6" s="15" t="n">
        <f aca="false">'Q1 SUMMARY'!H19</f>
        <v>-797857.486</v>
      </c>
      <c r="E6" s="16" t="str">
        <f aca="false">'Q1 SUMMARY'!K19</f>
        <v>GOOD!</v>
      </c>
    </row>
    <row r="7" customFormat="false" ht="15" hidden="false" customHeight="false" outlineLevel="0" collapsed="false">
      <c r="A7" s="14" t="s">
        <v>28</v>
      </c>
      <c r="B7" s="17" t="n">
        <f aca="false">'Q1 SUMMARY'!F19</f>
        <v>0.1289</v>
      </c>
      <c r="C7" s="17" t="n">
        <f aca="false">'Q1 SUMMARY'!G19</f>
        <v>0</v>
      </c>
      <c r="D7" s="17" t="n">
        <f aca="false">'Q1 SUMMARY'!I19</f>
        <v>-0.1289</v>
      </c>
      <c r="E7" s="16" t="str">
        <f aca="false">'Q1 SUMMARY'!K19</f>
        <v>GOOD!</v>
      </c>
    </row>
    <row r="8" customFormat="false" ht="15" hidden="false" customHeight="false" outlineLevel="0" collapsed="false">
      <c r="A8" s="5" t="s">
        <v>61</v>
      </c>
      <c r="B8" s="15" t="n">
        <f aca="false">'Q1 SUMMARY'!J19</f>
        <v>0</v>
      </c>
      <c r="C8" s="16" t="s">
        <v>85</v>
      </c>
      <c r="D8" s="16" t="s">
        <v>85</v>
      </c>
    </row>
    <row r="9" customFormat="false" ht="15" hidden="false" customHeight="false" outlineLevel="0" collapsed="false">
      <c r="A9" s="18" t="s">
        <v>59</v>
      </c>
      <c r="B9" s="19" t="s">
        <v>85</v>
      </c>
      <c r="C9" s="19" t="n">
        <f aca="false">'Q1 SUMMARY'!C21</f>
        <v>0</v>
      </c>
      <c r="D9" s="20" t="s">
        <v>85</v>
      </c>
      <c r="E9" s="21"/>
      <c r="F9" s="21"/>
    </row>
    <row r="11" customFormat="false" ht="15" hidden="false" customHeight="false" outlineLevel="0" collapsed="false">
      <c r="A11" s="11" t="s">
        <v>86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2" t="s">
        <v>87</v>
      </c>
      <c r="B12" s="13" t="s">
        <v>88</v>
      </c>
      <c r="C12" s="13" t="s">
        <v>89</v>
      </c>
      <c r="D12" s="13" t="s">
        <v>90</v>
      </c>
      <c r="E12" s="13" t="s">
        <v>82</v>
      </c>
      <c r="F12" s="13" t="s">
        <v>91</v>
      </c>
    </row>
    <row r="13" customFormat="false" ht="15" hidden="false" customHeight="false" outlineLevel="0" collapsed="false">
      <c r="A13" s="14" t="s">
        <v>92</v>
      </c>
      <c r="B13" s="15" t="n">
        <f aca="false">'Q1 SUMMARY'!D8</f>
        <v>329604.1452</v>
      </c>
      <c r="C13" s="15" t="n">
        <f aca="false">'Q1 SUMMARY'!E8</f>
        <v>0</v>
      </c>
      <c r="D13" s="22" t="n">
        <f aca="false">'Q1 SUMMARY'!G8</f>
        <v>0</v>
      </c>
      <c r="E13" s="16" t="str">
        <f aca="false">'Q1 SUMMARY'!K8</f>
        <v>GOOD!</v>
      </c>
      <c r="F13" s="16" t="str">
        <f aca="false">'Q1 SUMMARY'!L8</f>
        <v>ROOM FOR 13,184 HRS IF NEEDED</v>
      </c>
    </row>
    <row r="14" customFormat="false" ht="15" hidden="false" customHeight="false" outlineLevel="0" collapsed="false">
      <c r="A14" s="5" t="s">
        <v>93</v>
      </c>
      <c r="B14" s="15" t="n">
        <f aca="false">'Q1 SUMMARY'!D9</f>
        <v>71002.8</v>
      </c>
      <c r="C14" s="15" t="n">
        <f aca="false">'Q1 SUMMARY'!E9</f>
        <v>0</v>
      </c>
      <c r="D14" s="22" t="n">
        <f aca="false">'Q1 SUMMARY'!G9</f>
        <v>0</v>
      </c>
      <c r="E14" s="16" t="str">
        <f aca="false">'Q1 SUMMARY'!K9</f>
        <v>GOOD!</v>
      </c>
      <c r="F14" s="16" t="str">
        <f aca="false">'Q1 SUMMARY'!L9</f>
        <v>ROOM FOR 2,840 HRS IF NEEDED</v>
      </c>
    </row>
    <row r="15" customFormat="false" ht="15" hidden="false" customHeight="false" outlineLevel="0" collapsed="false">
      <c r="A15" s="14" t="s">
        <v>94</v>
      </c>
      <c r="B15" s="15" t="n">
        <f aca="false">'Q1 SUMMARY'!D10</f>
        <v>52707.6</v>
      </c>
      <c r="C15" s="15" t="n">
        <f aca="false">'Q1 SUMMARY'!E10</f>
        <v>0</v>
      </c>
      <c r="D15" s="22" t="n">
        <f aca="false">'Q1 SUMMARY'!G10</f>
        <v>0</v>
      </c>
      <c r="E15" s="16" t="str">
        <f aca="false">'Q1 SUMMARY'!K10</f>
        <v>GOOD!</v>
      </c>
      <c r="F15" s="16" t="str">
        <f aca="false">'Q1 SUMMARY'!L10</f>
        <v>ROOM FOR 2,108 HRS IF NEEDED</v>
      </c>
    </row>
    <row r="16" customFormat="false" ht="15" hidden="false" customHeight="false" outlineLevel="0" collapsed="false">
      <c r="A16" s="5" t="s">
        <v>95</v>
      </c>
      <c r="B16" s="15" t="n">
        <f aca="false">'Q1 SUMMARY'!D11</f>
        <v>71002.8</v>
      </c>
      <c r="C16" s="15" t="n">
        <f aca="false">'Q1 SUMMARY'!E11</f>
        <v>0</v>
      </c>
      <c r="D16" s="22" t="n">
        <f aca="false">'Q1 SUMMARY'!G11</f>
        <v>0</v>
      </c>
      <c r="E16" s="16" t="str">
        <f aca="false">'Q1 SUMMARY'!K11</f>
        <v>GOOD!</v>
      </c>
      <c r="F16" s="16" t="str">
        <f aca="false">'Q1 SUMMARY'!L11</f>
        <v>ROOM FOR 2,840 HRS IF NEEDED</v>
      </c>
    </row>
    <row r="17" customFormat="false" ht="15" hidden="false" customHeight="false" outlineLevel="0" collapsed="false">
      <c r="A17" s="14" t="s">
        <v>96</v>
      </c>
      <c r="B17" s="15" t="n">
        <f aca="false">'Q1 SUMMARY'!D12</f>
        <v>57354.1452</v>
      </c>
      <c r="C17" s="15" t="n">
        <f aca="false">'Q1 SUMMARY'!E12</f>
        <v>0</v>
      </c>
      <c r="D17" s="22" t="n">
        <f aca="false">'Q1 SUMMARY'!G12</f>
        <v>0</v>
      </c>
      <c r="E17" s="16" t="str">
        <f aca="false">'Q1 SUMMARY'!K12</f>
        <v>GOOD!</v>
      </c>
      <c r="F17" s="16" t="str">
        <f aca="false">'Q1 SUMMARY'!L12</f>
        <v>ROOM FOR 2,294 HRS IF NEEDED</v>
      </c>
    </row>
    <row r="18" customFormat="false" ht="15" hidden="false" customHeight="false" outlineLevel="0" collapsed="false">
      <c r="A18" s="5" t="s">
        <v>97</v>
      </c>
      <c r="B18" s="15" t="n">
        <f aca="false">'Q1 SUMMARY'!D13</f>
        <v>57354.1452</v>
      </c>
      <c r="C18" s="15" t="n">
        <f aca="false">'Q1 SUMMARY'!E13</f>
        <v>0</v>
      </c>
      <c r="D18" s="22" t="n">
        <f aca="false">'Q1 SUMMARY'!G13</f>
        <v>0</v>
      </c>
      <c r="E18" s="16" t="str">
        <f aca="false">'Q1 SUMMARY'!K13</f>
        <v>GOOD!</v>
      </c>
      <c r="F18" s="16" t="str">
        <f aca="false">'Q1 SUMMARY'!L13</f>
        <v>ROOM FOR 2,294 HRS IF NEEDED</v>
      </c>
    </row>
    <row r="19" customFormat="false" ht="15" hidden="false" customHeight="false" outlineLevel="0" collapsed="false">
      <c r="A19" s="14" t="s">
        <v>98</v>
      </c>
      <c r="B19" s="15" t="n">
        <f aca="false">'Q1 SUMMARY'!D14</f>
        <v>3339.7452</v>
      </c>
      <c r="C19" s="15" t="n">
        <f aca="false">'Q1 SUMMARY'!E14</f>
        <v>0</v>
      </c>
      <c r="D19" s="22" t="n">
        <f aca="false">'Q1 SUMMARY'!G14</f>
        <v>0</v>
      </c>
      <c r="E19" s="16" t="str">
        <f aca="false">'Q1 SUMMARY'!K14</f>
        <v>GOOD!</v>
      </c>
      <c r="F19" s="16" t="str">
        <f aca="false">'Q1 SUMMARY'!L14</f>
        <v>ROOM FOR 134 HRS IF NEEDED</v>
      </c>
    </row>
    <row r="20" customFormat="false" ht="15" hidden="false" customHeight="false" outlineLevel="0" collapsed="false">
      <c r="A20" s="5" t="s">
        <v>99</v>
      </c>
      <c r="B20" s="15" t="n">
        <f aca="false">'Q1 SUMMARY'!D15</f>
        <v>1350.36</v>
      </c>
      <c r="C20" s="15" t="n">
        <f aca="false">'Q1 SUMMARY'!E15</f>
        <v>0</v>
      </c>
      <c r="D20" s="22" t="n">
        <f aca="false">'Q1 SUMMARY'!G15</f>
        <v>0</v>
      </c>
      <c r="E20" s="16" t="str">
        <f aca="false">'Q1 SUMMARY'!K15</f>
        <v>GOOD!</v>
      </c>
      <c r="F20" s="16" t="str">
        <f aca="false">'Q1 SUMMARY'!L15</f>
        <v>ROOM FOR 54 HRS IF NEEDED</v>
      </c>
    </row>
    <row r="21" customFormat="false" ht="15" hidden="false" customHeight="false" outlineLevel="0" collapsed="false">
      <c r="A21" s="14" t="s">
        <v>100</v>
      </c>
      <c r="B21" s="15" t="n">
        <f aca="false">'Q1 SUMMARY'!D16</f>
        <v>30346.9452</v>
      </c>
      <c r="C21" s="15" t="n">
        <f aca="false">'Q1 SUMMARY'!E16</f>
        <v>0</v>
      </c>
      <c r="D21" s="22" t="n">
        <f aca="false">'Q1 SUMMARY'!G16</f>
        <v>0</v>
      </c>
      <c r="E21" s="16" t="str">
        <f aca="false">'Q1 SUMMARY'!K16</f>
        <v>GOOD!</v>
      </c>
      <c r="F21" s="16" t="str">
        <f aca="false">'Q1 SUMMARY'!L16</f>
        <v>ROOM FOR 1,214 HRS IF NEEDED</v>
      </c>
    </row>
    <row r="22" customFormat="false" ht="15" hidden="false" customHeight="false" outlineLevel="0" collapsed="false">
      <c r="A22" s="23" t="s">
        <v>101</v>
      </c>
      <c r="B22" s="24" t="n">
        <f aca="false">'Q1 SUMMARY'!D17</f>
        <v>123794.8</v>
      </c>
      <c r="C22" s="24" t="n">
        <f aca="false">'Q1 SUMMARY'!E17</f>
        <v>0</v>
      </c>
      <c r="D22" s="25" t="n">
        <f aca="false">'Q1 SUMMARY'!G17</f>
        <v>0</v>
      </c>
      <c r="E22" s="20" t="str">
        <f aca="false">'Q1 SUMMARY'!K17</f>
        <v>GOOD!</v>
      </c>
      <c r="F22" s="20" t="str">
        <f aca="false">'Q1 SUMMARY'!L17</f>
        <v>ROOM FOR 4,952 HRS IF NEEDED</v>
      </c>
    </row>
    <row r="24" customFormat="false" ht="15" hidden="false" customHeight="false" outlineLevel="0" collapsed="false">
      <c r="A24" s="26" t="s">
        <v>102</v>
      </c>
      <c r="B24" s="24" t="n">
        <f aca="false">'Q1 SUMMARY'!D19</f>
        <v>797857.486</v>
      </c>
      <c r="C24" s="24" t="n">
        <f aca="false">'Q1 SUMMARY'!E19</f>
        <v>0</v>
      </c>
      <c r="D24" s="25" t="n">
        <f aca="false">'Q1 SUMMARY'!G19</f>
        <v>0</v>
      </c>
      <c r="E24" s="20" t="str">
        <f aca="false">'Q1 SUMMARY'!K19</f>
        <v>GOOD!</v>
      </c>
      <c r="F24" s="20" t="str">
        <f aca="false">'Q1 SUMMARY'!L19</f>
        <v>ROOM FOR 31,914 HRS IF NEEDED</v>
      </c>
    </row>
  </sheetData>
  <mergeCells count="3">
    <mergeCell ref="A1:F1"/>
    <mergeCell ref="A3:F3"/>
    <mergeCell ref="A11:F11"/>
  </mergeCells>
  <conditionalFormatting sqref="E13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E14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E15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E16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E17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E18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E19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E20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E21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E22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E24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21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104</v>
      </c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2"/>
      <c r="B4" s="13" t="s">
        <v>105</v>
      </c>
      <c r="C4" s="13" t="s">
        <v>106</v>
      </c>
      <c r="D4" s="13" t="s">
        <v>81</v>
      </c>
      <c r="E4" s="13" t="s">
        <v>82</v>
      </c>
      <c r="F4" s="27"/>
      <c r="G4" s="27"/>
      <c r="H4" s="27"/>
      <c r="I4" s="27"/>
    </row>
    <row r="5" customFormat="false" ht="15" hidden="false" customHeight="false" outlineLevel="0" collapsed="false">
      <c r="A5" s="14" t="s">
        <v>83</v>
      </c>
      <c r="B5" s="28" t="n">
        <f aca="false">B82</f>
        <v>1547435</v>
      </c>
      <c r="C5" s="28" t="n">
        <f aca="false">B83</f>
        <v>0</v>
      </c>
      <c r="D5" s="28" t="n">
        <f aca="false">IFERROR(B83-B82,0)</f>
        <v>-1547435</v>
      </c>
      <c r="E5" s="29" t="str">
        <f aca="false">IF(B83&gt;=B82,"GOOD!","BELOW PLAN")</f>
        <v>BELOW PLAN</v>
      </c>
    </row>
    <row r="6" customFormat="false" ht="15" hidden="false" customHeight="false" outlineLevel="0" collapsed="false">
      <c r="A6" s="5" t="s">
        <v>84</v>
      </c>
      <c r="B6" s="28" t="n">
        <f aca="false">E82</f>
        <v>199464.3715</v>
      </c>
      <c r="C6" s="28" t="n">
        <f aca="false">E83</f>
        <v>0</v>
      </c>
      <c r="D6" s="28" t="n">
        <f aca="false">IFERROR(E83-E82,0)</f>
        <v>-199464.3715</v>
      </c>
      <c r="E6" s="29" t="str">
        <f aca="false">H84</f>
        <v>GOOD!</v>
      </c>
    </row>
    <row r="7" customFormat="false" ht="15" hidden="false" customHeight="false" outlineLevel="0" collapsed="false">
      <c r="A7" s="14" t="s">
        <v>28</v>
      </c>
      <c r="B7" s="30" t="n">
        <f aca="false">C82</f>
        <v>0.1289</v>
      </c>
      <c r="C7" s="30" t="n">
        <f aca="false">C83</f>
        <v>0</v>
      </c>
      <c r="D7" s="31" t="n">
        <f aca="false">IFERROR(C83-C82,0)</f>
        <v>-0.1289</v>
      </c>
      <c r="E7" s="29" t="str">
        <f aca="false">H84</f>
        <v>GOOD!</v>
      </c>
    </row>
    <row r="8" customFormat="false" ht="15" hidden="false" customHeight="false" outlineLevel="0" collapsed="false">
      <c r="A8" s="5" t="s">
        <v>59</v>
      </c>
      <c r="B8" s="29" t="s">
        <v>85</v>
      </c>
      <c r="C8" s="32" t="n">
        <f aca="false">G83</f>
        <v>0</v>
      </c>
      <c r="D8" s="29" t="s">
        <v>85</v>
      </c>
    </row>
    <row r="9" customFormat="false" ht="15" hidden="false" customHeight="false" outlineLevel="0" collapsed="false">
      <c r="A9" s="18" t="s">
        <v>107</v>
      </c>
      <c r="B9" s="33" t="n">
        <f aca="false">F82</f>
        <v>7978.57486</v>
      </c>
      <c r="C9" s="33" t="n">
        <f aca="false">F83</f>
        <v>0</v>
      </c>
      <c r="D9" s="34" t="n">
        <f aca="false">IFERROR(F83-F82,0)</f>
        <v>-7978.57486</v>
      </c>
      <c r="E9" s="35" t="str">
        <f aca="false">H84</f>
        <v>GOOD!</v>
      </c>
      <c r="F9" s="21"/>
      <c r="G9" s="21"/>
      <c r="H9" s="21"/>
      <c r="I9" s="21"/>
    </row>
    <row r="12" customFormat="false" ht="15" hidden="false" customHeight="false" outlineLevel="0" collapsed="false">
      <c r="A12" s="11" t="s">
        <v>108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87</v>
      </c>
      <c r="B13" s="13" t="s">
        <v>109</v>
      </c>
      <c r="C13" s="13" t="s">
        <v>110</v>
      </c>
      <c r="D13" s="13" t="s">
        <v>90</v>
      </c>
      <c r="E13" s="13" t="s">
        <v>111</v>
      </c>
      <c r="F13" s="13" t="s">
        <v>112</v>
      </c>
      <c r="G13" s="13" t="s">
        <v>82</v>
      </c>
      <c r="H13" s="13" t="s">
        <v>113</v>
      </c>
    </row>
    <row r="14" customFormat="false" ht="15" hidden="false" customHeight="false" outlineLevel="0" collapsed="false">
      <c r="A14" s="14" t="s">
        <v>92</v>
      </c>
      <c r="B14" s="28" t="n">
        <f aca="false">E31</f>
        <v>82401.0363</v>
      </c>
      <c r="C14" s="28" t="n">
        <f aca="false">E32</f>
        <v>0</v>
      </c>
      <c r="D14" s="31" t="n">
        <f aca="false">C32</f>
        <v>0</v>
      </c>
      <c r="E14" s="28" t="n">
        <f aca="false">E33</f>
        <v>-82401.0363</v>
      </c>
      <c r="F14" s="31" t="n">
        <f aca="false">C33</f>
        <v>-0.1089</v>
      </c>
      <c r="G14" s="29" t="str">
        <f aca="false">H33</f>
        <v>GOOD!</v>
      </c>
      <c r="H14" s="29" t="str">
        <f aca="false">I33</f>
        <v>ROOM FOR 3,296 HRS IF NEEDED</v>
      </c>
    </row>
    <row r="15" customFormat="false" ht="15" hidden="false" customHeight="false" outlineLevel="0" collapsed="false">
      <c r="A15" s="5" t="s">
        <v>93</v>
      </c>
      <c r="B15" s="28" t="n">
        <f aca="false">E36</f>
        <v>17750.7</v>
      </c>
      <c r="C15" s="28" t="n">
        <f aca="false">E37</f>
        <v>0</v>
      </c>
      <c r="D15" s="31" t="n">
        <f aca="false">C37</f>
        <v>0</v>
      </c>
      <c r="E15" s="28" t="n">
        <f aca="false">E38</f>
        <v>-17750.7</v>
      </c>
      <c r="F15" s="31" t="n">
        <f aca="false">C38</f>
        <v>-0.1089</v>
      </c>
      <c r="G15" s="29" t="str">
        <f aca="false">H38</f>
        <v>GOOD!</v>
      </c>
      <c r="H15" s="29" t="str">
        <f aca="false">I38</f>
        <v>ROOM FOR 710 HRS IF NEEDED</v>
      </c>
    </row>
    <row r="16" customFormat="false" ht="15" hidden="false" customHeight="false" outlineLevel="0" collapsed="false">
      <c r="A16" s="14" t="s">
        <v>94</v>
      </c>
      <c r="B16" s="28" t="n">
        <f aca="false">E41</f>
        <v>13176.9</v>
      </c>
      <c r="C16" s="28" t="n">
        <f aca="false">E42</f>
        <v>0</v>
      </c>
      <c r="D16" s="31" t="n">
        <f aca="false">C42</f>
        <v>0</v>
      </c>
      <c r="E16" s="28" t="n">
        <f aca="false">E43</f>
        <v>-13176.9</v>
      </c>
      <c r="F16" s="31" t="n">
        <f aca="false">C43</f>
        <v>-0.1089</v>
      </c>
      <c r="G16" s="29" t="str">
        <f aca="false">H43</f>
        <v>GOOD!</v>
      </c>
      <c r="H16" s="29" t="str">
        <f aca="false">I43</f>
        <v>ROOM FOR 527 HRS IF NEEDED</v>
      </c>
    </row>
    <row r="17" customFormat="false" ht="15" hidden="false" customHeight="false" outlineLevel="0" collapsed="false">
      <c r="A17" s="5" t="s">
        <v>95</v>
      </c>
      <c r="B17" s="28" t="n">
        <f aca="false">E46</f>
        <v>17750.7</v>
      </c>
      <c r="C17" s="28" t="n">
        <f aca="false">E47</f>
        <v>0</v>
      </c>
      <c r="D17" s="31" t="n">
        <f aca="false">C47</f>
        <v>0</v>
      </c>
      <c r="E17" s="28" t="n">
        <f aca="false">E48</f>
        <v>-17750.7</v>
      </c>
      <c r="F17" s="31" t="n">
        <f aca="false">C48</f>
        <v>-0.1089</v>
      </c>
      <c r="G17" s="29" t="str">
        <f aca="false">H48</f>
        <v>GOOD!</v>
      </c>
      <c r="H17" s="29" t="str">
        <f aca="false">I48</f>
        <v>ROOM FOR 710 HRS IF NEEDED</v>
      </c>
    </row>
    <row r="18" customFormat="false" ht="15" hidden="false" customHeight="false" outlineLevel="0" collapsed="false">
      <c r="A18" s="14" t="s">
        <v>96</v>
      </c>
      <c r="B18" s="28" t="n">
        <f aca="false">E51</f>
        <v>14338.5363</v>
      </c>
      <c r="C18" s="28" t="n">
        <f aca="false">E52</f>
        <v>0</v>
      </c>
      <c r="D18" s="31" t="n">
        <f aca="false">C52</f>
        <v>0</v>
      </c>
      <c r="E18" s="28" t="n">
        <f aca="false">E53</f>
        <v>-14338.5363</v>
      </c>
      <c r="F18" s="31" t="n">
        <f aca="false">C53</f>
        <v>-0.1089</v>
      </c>
      <c r="G18" s="29" t="str">
        <f aca="false">H53</f>
        <v>GOOD!</v>
      </c>
      <c r="H18" s="29" t="str">
        <f aca="false">I53</f>
        <v>ROOM FOR 574 HRS IF NEEDED</v>
      </c>
    </row>
    <row r="19" customFormat="false" ht="15" hidden="false" customHeight="false" outlineLevel="0" collapsed="false">
      <c r="A19" s="5" t="s">
        <v>97</v>
      </c>
      <c r="B19" s="28" t="n">
        <f aca="false">E56</f>
        <v>14338.5363</v>
      </c>
      <c r="C19" s="28" t="n">
        <f aca="false">E57</f>
        <v>0</v>
      </c>
      <c r="D19" s="31" t="n">
        <f aca="false">C57</f>
        <v>0</v>
      </c>
      <c r="E19" s="28" t="n">
        <f aca="false">E58</f>
        <v>-14338.5363</v>
      </c>
      <c r="F19" s="31" t="n">
        <f aca="false">C58</f>
        <v>-0.1089</v>
      </c>
      <c r="G19" s="29" t="str">
        <f aca="false">H58</f>
        <v>GOOD!</v>
      </c>
      <c r="H19" s="29" t="str">
        <f aca="false">I58</f>
        <v>ROOM FOR 574 HRS IF NEEDED</v>
      </c>
    </row>
    <row r="20" customFormat="false" ht="15" hidden="false" customHeight="false" outlineLevel="0" collapsed="false">
      <c r="A20" s="14" t="s">
        <v>98</v>
      </c>
      <c r="B20" s="28" t="n">
        <f aca="false">E61</f>
        <v>834.9363</v>
      </c>
      <c r="C20" s="28" t="n">
        <f aca="false">E62</f>
        <v>0</v>
      </c>
      <c r="D20" s="31" t="n">
        <f aca="false">C62</f>
        <v>0</v>
      </c>
      <c r="E20" s="28" t="n">
        <f aca="false">E63</f>
        <v>-834.9363</v>
      </c>
      <c r="F20" s="31" t="n">
        <f aca="false">C63</f>
        <v>-0.1089</v>
      </c>
      <c r="G20" s="29" t="str">
        <f aca="false">H63</f>
        <v>GOOD!</v>
      </c>
      <c r="H20" s="29" t="str">
        <f aca="false">I63</f>
        <v>ROOM FOR 33 HRS IF NEEDED</v>
      </c>
    </row>
    <row r="21" customFormat="false" ht="15" hidden="false" customHeight="false" outlineLevel="0" collapsed="false">
      <c r="A21" s="5" t="s">
        <v>99</v>
      </c>
      <c r="B21" s="28" t="n">
        <f aca="false">E66</f>
        <v>337.59</v>
      </c>
      <c r="C21" s="28" t="n">
        <f aca="false">E67</f>
        <v>0</v>
      </c>
      <c r="D21" s="31" t="n">
        <f aca="false">C67</f>
        <v>0</v>
      </c>
      <c r="E21" s="28" t="n">
        <f aca="false">E68</f>
        <v>-337.59</v>
      </c>
      <c r="F21" s="31" t="n">
        <f aca="false">C68</f>
        <v>-0.1089</v>
      </c>
      <c r="G21" s="29" t="str">
        <f aca="false">H68</f>
        <v>GOOD!</v>
      </c>
      <c r="H21" s="29" t="str">
        <f aca="false">I68</f>
        <v>ROOM FOR 14 HRS IF NEEDED</v>
      </c>
    </row>
    <row r="22" customFormat="false" ht="15" hidden="false" customHeight="false" outlineLevel="0" collapsed="false">
      <c r="A22" s="14" t="s">
        <v>100</v>
      </c>
      <c r="B22" s="28" t="n">
        <f aca="false">E71</f>
        <v>7586.7363</v>
      </c>
      <c r="C22" s="28" t="n">
        <f aca="false">E72</f>
        <v>0</v>
      </c>
      <c r="D22" s="31" t="n">
        <f aca="false">C72</f>
        <v>0</v>
      </c>
      <c r="E22" s="28" t="n">
        <f aca="false">E73</f>
        <v>-7586.7363</v>
      </c>
      <c r="F22" s="31" t="n">
        <f aca="false">C73</f>
        <v>-0.1089</v>
      </c>
      <c r="G22" s="29" t="str">
        <f aca="false">H73</f>
        <v>GOOD!</v>
      </c>
      <c r="H22" s="29" t="str">
        <f aca="false">I73</f>
        <v>ROOM FOR 303 HRS IF NEEDED</v>
      </c>
    </row>
    <row r="23" customFormat="false" ht="15" hidden="false" customHeight="false" outlineLevel="0" collapsed="false">
      <c r="A23" s="23" t="s">
        <v>101</v>
      </c>
      <c r="B23" s="36" t="n">
        <f aca="false">E76</f>
        <v>30948.7</v>
      </c>
      <c r="C23" s="36" t="n">
        <f aca="false">E77</f>
        <v>0</v>
      </c>
      <c r="D23" s="37" t="n">
        <f aca="false">C77</f>
        <v>0</v>
      </c>
      <c r="E23" s="36" t="n">
        <f aca="false">E78</f>
        <v>-30948.7</v>
      </c>
      <c r="F23" s="37" t="n">
        <f aca="false">C78</f>
        <v>-0.02</v>
      </c>
      <c r="G23" s="35" t="str">
        <f aca="false">H78</f>
        <v>GOOD!</v>
      </c>
      <c r="H23" s="35" t="str">
        <f aca="false">I78</f>
        <v>ROOM FOR 1,238 HRS IF NEEDED</v>
      </c>
      <c r="I23" s="21"/>
    </row>
    <row r="24" customFormat="false" ht="15" hidden="false" customHeight="false" outlineLevel="0" collapsed="false">
      <c r="A24" s="26" t="s">
        <v>102</v>
      </c>
      <c r="B24" s="36" t="n">
        <f aca="false">E82</f>
        <v>199464.3715</v>
      </c>
      <c r="C24" s="36" t="n">
        <f aca="false">E83</f>
        <v>0</v>
      </c>
      <c r="D24" s="37" t="n">
        <f aca="false">C83</f>
        <v>0</v>
      </c>
      <c r="E24" s="36" t="n">
        <f aca="false">E84</f>
        <v>-199464.3715</v>
      </c>
      <c r="F24" s="37" t="n">
        <f aca="false">C84</f>
        <v>-0.1289</v>
      </c>
      <c r="G24" s="35" t="str">
        <f aca="false">H84</f>
        <v>GOOD!</v>
      </c>
      <c r="H24" s="35" t="str">
        <f aca="false">I84</f>
        <v>ROOM FOR 7,979 HRS IF NEEDED</v>
      </c>
      <c r="I24" s="21"/>
    </row>
    <row r="28" customFormat="false" ht="15" hidden="false" customHeight="false" outlineLevel="0" collapsed="false">
      <c r="A28" s="38" t="s">
        <v>114</v>
      </c>
      <c r="B28" s="38"/>
      <c r="C28" s="38"/>
      <c r="D28" s="38"/>
      <c r="E28" s="38"/>
      <c r="F28" s="38"/>
      <c r="G28" s="38"/>
      <c r="H28" s="38"/>
      <c r="I28" s="38"/>
    </row>
    <row r="29" customFormat="false" ht="15" hidden="false" customHeight="false" outlineLevel="0" collapsed="false">
      <c r="A29" s="12"/>
      <c r="B29" s="13" t="s">
        <v>115</v>
      </c>
      <c r="C29" s="13" t="s">
        <v>28</v>
      </c>
      <c r="D29" s="13" t="s">
        <v>116</v>
      </c>
      <c r="E29" s="13" t="s">
        <v>117</v>
      </c>
      <c r="F29" s="13" t="s">
        <v>118</v>
      </c>
      <c r="G29" s="13" t="s">
        <v>51</v>
      </c>
      <c r="H29" s="13" t="s">
        <v>82</v>
      </c>
      <c r="I29" s="13" t="s">
        <v>113</v>
      </c>
    </row>
    <row r="30" customFormat="false" ht="16.5" hidden="false" customHeight="true" outlineLevel="0" collapsed="false">
      <c r="A30" s="38" t="s">
        <v>92</v>
      </c>
      <c r="B30" s="38"/>
      <c r="C30" s="38"/>
      <c r="D30" s="38"/>
      <c r="E30" s="38"/>
      <c r="F30" s="38"/>
      <c r="G30" s="38"/>
      <c r="H30" s="38"/>
      <c r="I30" s="38"/>
    </row>
    <row r="31" customFormat="false" ht="15" hidden="false" customHeight="true" outlineLevel="0" collapsed="false">
      <c r="A31" s="14" t="s">
        <v>105</v>
      </c>
      <c r="B31" s="39" t="n">
        <v>756667</v>
      </c>
      <c r="C31" s="40" t="n">
        <v>0.1089</v>
      </c>
      <c r="D31" s="41" t="n">
        <v>25</v>
      </c>
      <c r="E31" s="28" t="n">
        <f aca="false">IFERROR(B31*C31,0)</f>
        <v>82401.0363</v>
      </c>
      <c r="F31" s="42" t="n">
        <f aca="false">IFERROR(E31/D31,0)</f>
        <v>3296.041452</v>
      </c>
    </row>
    <row r="32" customFormat="false" ht="15" hidden="false" customHeight="true" outlineLevel="0" collapsed="false">
      <c r="A32" s="14" t="s">
        <v>106</v>
      </c>
      <c r="B32" s="39"/>
      <c r="C32" s="40"/>
      <c r="D32" s="41"/>
      <c r="E32" s="28" t="n">
        <f aca="false">IFERROR(B32*C32,0)</f>
        <v>0</v>
      </c>
      <c r="F32" s="42" t="n">
        <f aca="false">IFERROR(E32/D32,0)</f>
        <v>0</v>
      </c>
      <c r="G32" s="32" t="n">
        <f aca="false">IFERROR(E32/F32,0)</f>
        <v>0</v>
      </c>
    </row>
    <row r="33" customFormat="false" ht="15" hidden="false" customHeight="true" outlineLevel="0" collapsed="false">
      <c r="A33" s="18" t="s">
        <v>81</v>
      </c>
      <c r="B33" s="36" t="n">
        <f aca="false">IFERROR(B32-B31,0)</f>
        <v>-756667</v>
      </c>
      <c r="C33" s="37" t="n">
        <f aca="false">IFERROR(C32-C31,0)</f>
        <v>-0.1089</v>
      </c>
      <c r="D33" s="21"/>
      <c r="E33" s="36" t="n">
        <f aca="false">IFERROR(E32-E31,0)</f>
        <v>-82401.0363</v>
      </c>
      <c r="F33" s="21"/>
      <c r="G33" s="21"/>
      <c r="H33" s="35" t="str">
        <f aca="false">IF(E33=0,"-",IF(C33&lt;=0,"GOOD!",IF(C33&lt;=0.01,"CAUTION!","BAD!")))</f>
        <v>GOOD!</v>
      </c>
      <c r="I33" s="35" t="str">
        <f aca="false">IFERROR(IF(E33&gt;0,"TRIM "&amp;TEXT(ABS(E33)/D31,"#,##0")&amp;" HRS TO HIT TARGET","ROOM FOR "&amp;TEXT(ABS(E33)/D31,"#,##0")&amp;" HRS IF NEEDED"),"-")</f>
        <v>ROOM FOR 3,296 HRS IF NEEDED</v>
      </c>
    </row>
    <row r="35" customFormat="false" ht="16.5" hidden="false" customHeight="true" outlineLevel="0" collapsed="false">
      <c r="A35" s="38" t="s">
        <v>93</v>
      </c>
      <c r="B35" s="38"/>
      <c r="C35" s="38"/>
      <c r="D35" s="38"/>
      <c r="E35" s="38"/>
      <c r="F35" s="38"/>
      <c r="G35" s="38"/>
      <c r="H35" s="38"/>
      <c r="I35" s="38"/>
    </row>
    <row r="36" customFormat="false" ht="15" hidden="false" customHeight="true" outlineLevel="0" collapsed="false">
      <c r="A36" s="14" t="s">
        <v>105</v>
      </c>
      <c r="B36" s="39" t="n">
        <v>163000</v>
      </c>
      <c r="C36" s="40" t="n">
        <v>0.1089</v>
      </c>
      <c r="D36" s="41" t="n">
        <v>25</v>
      </c>
      <c r="E36" s="28" t="n">
        <f aca="false">IFERROR(B36*C36,0)</f>
        <v>17750.7</v>
      </c>
      <c r="F36" s="42" t="n">
        <f aca="false">IFERROR(E36/D36,0)</f>
        <v>710.028</v>
      </c>
    </row>
    <row r="37" customFormat="false" ht="15" hidden="false" customHeight="true" outlineLevel="0" collapsed="false">
      <c r="A37" s="14" t="s">
        <v>106</v>
      </c>
      <c r="B37" s="39"/>
      <c r="C37" s="40"/>
      <c r="D37" s="41"/>
      <c r="E37" s="28" t="n">
        <f aca="false">IFERROR(B37*C37,0)</f>
        <v>0</v>
      </c>
      <c r="F37" s="42" t="n">
        <f aca="false">IFERROR(E37/D37,0)</f>
        <v>0</v>
      </c>
      <c r="G37" s="32" t="n">
        <f aca="false">IFERROR(E37/F37,0)</f>
        <v>0</v>
      </c>
    </row>
    <row r="38" customFormat="false" ht="15" hidden="false" customHeight="true" outlineLevel="0" collapsed="false">
      <c r="A38" s="18" t="s">
        <v>81</v>
      </c>
      <c r="B38" s="36" t="n">
        <f aca="false">IFERROR(B37-B36,0)</f>
        <v>-163000</v>
      </c>
      <c r="C38" s="37" t="n">
        <f aca="false">IFERROR(C37-C36,0)</f>
        <v>-0.1089</v>
      </c>
      <c r="D38" s="21"/>
      <c r="E38" s="36" t="n">
        <f aca="false">IFERROR(E37-E36,0)</f>
        <v>-17750.7</v>
      </c>
      <c r="F38" s="21"/>
      <c r="G38" s="21"/>
      <c r="H38" s="35" t="str">
        <f aca="false">IF(E38=0,"-",IF(C38&lt;=0,"GOOD!",IF(C38&lt;=0.01,"CAUTION!","BAD!")))</f>
        <v>GOOD!</v>
      </c>
      <c r="I38" s="35" t="str">
        <f aca="false">IFERROR(IF(E38&gt;0,"TRIM "&amp;TEXT(ABS(E38)/D36,"#,##0")&amp;" HRS TO HIT TARGET","ROOM FOR "&amp;TEXT(ABS(E38)/D36,"#,##0")&amp;" HRS IF NEEDED"),"-")</f>
        <v>ROOM FOR 710 HRS IF NEEDED</v>
      </c>
    </row>
    <row r="40" customFormat="false" ht="16.5" hidden="false" customHeight="true" outlineLevel="0" collapsed="false">
      <c r="A40" s="38" t="s">
        <v>94</v>
      </c>
      <c r="B40" s="38"/>
      <c r="C40" s="38"/>
      <c r="D40" s="38"/>
      <c r="E40" s="38"/>
      <c r="F40" s="38"/>
      <c r="G40" s="38"/>
      <c r="H40" s="38"/>
      <c r="I40" s="38"/>
    </row>
    <row r="41" customFormat="false" ht="15" hidden="false" customHeight="true" outlineLevel="0" collapsed="false">
      <c r="A41" s="14" t="s">
        <v>105</v>
      </c>
      <c r="B41" s="39" t="n">
        <v>121000</v>
      </c>
      <c r="C41" s="40" t="n">
        <v>0.1089</v>
      </c>
      <c r="D41" s="41" t="n">
        <v>25</v>
      </c>
      <c r="E41" s="28" t="n">
        <f aca="false">IFERROR(B41*C41,0)</f>
        <v>13176.9</v>
      </c>
      <c r="F41" s="42" t="n">
        <f aca="false">IFERROR(E41/D41,0)</f>
        <v>527.076</v>
      </c>
    </row>
    <row r="42" customFormat="false" ht="15" hidden="false" customHeight="true" outlineLevel="0" collapsed="false">
      <c r="A42" s="14" t="s">
        <v>106</v>
      </c>
      <c r="B42" s="39"/>
      <c r="C42" s="40"/>
      <c r="D42" s="41"/>
      <c r="E42" s="28" t="n">
        <f aca="false">IFERROR(B42*C42,0)</f>
        <v>0</v>
      </c>
      <c r="F42" s="42" t="n">
        <f aca="false">IFERROR(E42/D42,0)</f>
        <v>0</v>
      </c>
      <c r="G42" s="32" t="n">
        <f aca="false">IFERROR(E42/F42,0)</f>
        <v>0</v>
      </c>
    </row>
    <row r="43" customFormat="false" ht="15" hidden="false" customHeight="true" outlineLevel="0" collapsed="false">
      <c r="A43" s="18" t="s">
        <v>81</v>
      </c>
      <c r="B43" s="36" t="n">
        <f aca="false">IFERROR(B42-B41,0)</f>
        <v>-121000</v>
      </c>
      <c r="C43" s="37" t="n">
        <f aca="false">IFERROR(C42-C41,0)</f>
        <v>-0.1089</v>
      </c>
      <c r="D43" s="21"/>
      <c r="E43" s="36" t="n">
        <f aca="false">IFERROR(E42-E41,0)</f>
        <v>-13176.9</v>
      </c>
      <c r="F43" s="21"/>
      <c r="G43" s="21"/>
      <c r="H43" s="35" t="str">
        <f aca="false">IF(E43=0,"-",IF(C43&lt;=0,"GOOD!",IF(C43&lt;=0.01,"CAUTION!","BAD!")))</f>
        <v>GOOD!</v>
      </c>
      <c r="I43" s="35" t="str">
        <f aca="false">IFERROR(IF(E43&gt;0,"TRIM "&amp;TEXT(ABS(E43)/D41,"#,##0")&amp;" HRS TO HIT TARGET","ROOM FOR "&amp;TEXT(ABS(E43)/D41,"#,##0")&amp;" HRS IF NEEDED"),"-")</f>
        <v>ROOM FOR 527 HRS IF NEEDED</v>
      </c>
    </row>
    <row r="45" customFormat="false" ht="16.5" hidden="false" customHeight="true" outlineLevel="0" collapsed="false">
      <c r="A45" s="38" t="s">
        <v>95</v>
      </c>
      <c r="B45" s="38"/>
      <c r="C45" s="38"/>
      <c r="D45" s="38"/>
      <c r="E45" s="38"/>
      <c r="F45" s="38"/>
      <c r="G45" s="38"/>
      <c r="H45" s="38"/>
      <c r="I45" s="38"/>
    </row>
    <row r="46" customFormat="false" ht="15" hidden="false" customHeight="true" outlineLevel="0" collapsed="false">
      <c r="A46" s="14" t="s">
        <v>105</v>
      </c>
      <c r="B46" s="39" t="n">
        <v>163000</v>
      </c>
      <c r="C46" s="40" t="n">
        <v>0.1089</v>
      </c>
      <c r="D46" s="41" t="n">
        <v>25</v>
      </c>
      <c r="E46" s="28" t="n">
        <f aca="false">IFERROR(B46*C46,0)</f>
        <v>17750.7</v>
      </c>
      <c r="F46" s="42" t="n">
        <f aca="false">IFERROR(E46/D46,0)</f>
        <v>710.028</v>
      </c>
    </row>
    <row r="47" customFormat="false" ht="15" hidden="false" customHeight="true" outlineLevel="0" collapsed="false">
      <c r="A47" s="14" t="s">
        <v>106</v>
      </c>
      <c r="B47" s="39"/>
      <c r="C47" s="40"/>
      <c r="D47" s="41"/>
      <c r="E47" s="28" t="n">
        <f aca="false">IFERROR(B47*C47,0)</f>
        <v>0</v>
      </c>
      <c r="F47" s="42" t="n">
        <f aca="false">IFERROR(E47/D47,0)</f>
        <v>0</v>
      </c>
      <c r="G47" s="32" t="n">
        <f aca="false">IFERROR(E47/F47,0)</f>
        <v>0</v>
      </c>
    </row>
    <row r="48" customFormat="false" ht="15" hidden="false" customHeight="true" outlineLevel="0" collapsed="false">
      <c r="A48" s="18" t="s">
        <v>81</v>
      </c>
      <c r="B48" s="36" t="n">
        <f aca="false">IFERROR(B47-B46,0)</f>
        <v>-163000</v>
      </c>
      <c r="C48" s="37" t="n">
        <f aca="false">IFERROR(C47-C46,0)</f>
        <v>-0.1089</v>
      </c>
      <c r="D48" s="21"/>
      <c r="E48" s="36" t="n">
        <f aca="false">IFERROR(E47-E46,0)</f>
        <v>-17750.7</v>
      </c>
      <c r="F48" s="21"/>
      <c r="G48" s="21"/>
      <c r="H48" s="35" t="str">
        <f aca="false">IF(E48=0,"-",IF(C48&lt;=0,"GOOD!",IF(C48&lt;=0.01,"CAUTION!","BAD!")))</f>
        <v>GOOD!</v>
      </c>
      <c r="I48" s="35" t="str">
        <f aca="false">IFERROR(IF(E48&gt;0,"TRIM "&amp;TEXT(ABS(E48)/D46,"#,##0")&amp;" HRS TO HIT TARGET","ROOM FOR "&amp;TEXT(ABS(E48)/D46,"#,##0")&amp;" HRS IF NEEDED"),"-")</f>
        <v>ROOM FOR 710 HRS IF NEEDED</v>
      </c>
    </row>
    <row r="50" customFormat="false" ht="16.5" hidden="false" customHeight="true" outlineLevel="0" collapsed="false">
      <c r="A50" s="38" t="s">
        <v>96</v>
      </c>
      <c r="B50" s="38"/>
      <c r="C50" s="38"/>
      <c r="D50" s="38"/>
      <c r="E50" s="38"/>
      <c r="F50" s="38"/>
      <c r="G50" s="38"/>
      <c r="H50" s="38"/>
      <c r="I50" s="38"/>
    </row>
    <row r="51" customFormat="false" ht="15" hidden="false" customHeight="true" outlineLevel="0" collapsed="false">
      <c r="A51" s="14" t="s">
        <v>105</v>
      </c>
      <c r="B51" s="39" t="n">
        <v>131667</v>
      </c>
      <c r="C51" s="40" t="n">
        <v>0.1089</v>
      </c>
      <c r="D51" s="41" t="n">
        <v>25</v>
      </c>
      <c r="E51" s="28" t="n">
        <f aca="false">IFERROR(B51*C51,0)</f>
        <v>14338.5363</v>
      </c>
      <c r="F51" s="42" t="n">
        <f aca="false">IFERROR(E51/D51,0)</f>
        <v>573.541452</v>
      </c>
    </row>
    <row r="52" customFormat="false" ht="15" hidden="false" customHeight="true" outlineLevel="0" collapsed="false">
      <c r="A52" s="14" t="s">
        <v>106</v>
      </c>
      <c r="B52" s="39"/>
      <c r="C52" s="40"/>
      <c r="D52" s="41"/>
      <c r="E52" s="28" t="n">
        <f aca="false">IFERROR(B52*C52,0)</f>
        <v>0</v>
      </c>
      <c r="F52" s="42" t="n">
        <f aca="false">IFERROR(E52/D52,0)</f>
        <v>0</v>
      </c>
      <c r="G52" s="32" t="n">
        <f aca="false">IFERROR(E52/F52,0)</f>
        <v>0</v>
      </c>
    </row>
    <row r="53" customFormat="false" ht="15" hidden="false" customHeight="true" outlineLevel="0" collapsed="false">
      <c r="A53" s="18" t="s">
        <v>81</v>
      </c>
      <c r="B53" s="36" t="n">
        <f aca="false">IFERROR(B52-B51,0)</f>
        <v>-131667</v>
      </c>
      <c r="C53" s="37" t="n">
        <f aca="false">IFERROR(C52-C51,0)</f>
        <v>-0.1089</v>
      </c>
      <c r="D53" s="21"/>
      <c r="E53" s="36" t="n">
        <f aca="false">IFERROR(E52-E51,0)</f>
        <v>-14338.5363</v>
      </c>
      <c r="F53" s="21"/>
      <c r="G53" s="21"/>
      <c r="H53" s="35" t="str">
        <f aca="false">IF(E53=0,"-",IF(C53&lt;=0,"GOOD!",IF(C53&lt;=0.01,"CAUTION!","BAD!")))</f>
        <v>GOOD!</v>
      </c>
      <c r="I53" s="35" t="str">
        <f aca="false">IFERROR(IF(E53&gt;0,"TRIM "&amp;TEXT(ABS(E53)/D51,"#,##0")&amp;" HRS TO HIT TARGET","ROOM FOR "&amp;TEXT(ABS(E53)/D51,"#,##0")&amp;" HRS IF NEEDED"),"-")</f>
        <v>ROOM FOR 574 HRS IF NEEDED</v>
      </c>
    </row>
    <row r="55" customFormat="false" ht="16.5" hidden="false" customHeight="true" outlineLevel="0" collapsed="false">
      <c r="A55" s="38" t="s">
        <v>97</v>
      </c>
      <c r="B55" s="38"/>
      <c r="C55" s="38"/>
      <c r="D55" s="38"/>
      <c r="E55" s="38"/>
      <c r="F55" s="38"/>
      <c r="G55" s="38"/>
      <c r="H55" s="38"/>
      <c r="I55" s="38"/>
    </row>
    <row r="56" customFormat="false" ht="15" hidden="false" customHeight="true" outlineLevel="0" collapsed="false">
      <c r="A56" s="14" t="s">
        <v>105</v>
      </c>
      <c r="B56" s="39" t="n">
        <v>131667</v>
      </c>
      <c r="C56" s="40" t="n">
        <v>0.1089</v>
      </c>
      <c r="D56" s="41" t="n">
        <v>25</v>
      </c>
      <c r="E56" s="28" t="n">
        <f aca="false">IFERROR(B56*C56,0)</f>
        <v>14338.5363</v>
      </c>
      <c r="F56" s="42" t="n">
        <f aca="false">IFERROR(E56/D56,0)</f>
        <v>573.541452</v>
      </c>
    </row>
    <row r="57" customFormat="false" ht="15" hidden="false" customHeight="true" outlineLevel="0" collapsed="false">
      <c r="A57" s="14" t="s">
        <v>106</v>
      </c>
      <c r="B57" s="39"/>
      <c r="C57" s="40"/>
      <c r="D57" s="41"/>
      <c r="E57" s="28" t="n">
        <f aca="false">IFERROR(B57*C57,0)</f>
        <v>0</v>
      </c>
      <c r="F57" s="42" t="n">
        <f aca="false">IFERROR(E57/D57,0)</f>
        <v>0</v>
      </c>
      <c r="G57" s="32" t="n">
        <f aca="false">IFERROR(E57/F57,0)</f>
        <v>0</v>
      </c>
    </row>
    <row r="58" customFormat="false" ht="15" hidden="false" customHeight="true" outlineLevel="0" collapsed="false">
      <c r="A58" s="18" t="s">
        <v>81</v>
      </c>
      <c r="B58" s="36" t="n">
        <f aca="false">IFERROR(B57-B56,0)</f>
        <v>-131667</v>
      </c>
      <c r="C58" s="37" t="n">
        <f aca="false">IFERROR(C57-C56,0)</f>
        <v>-0.1089</v>
      </c>
      <c r="D58" s="21"/>
      <c r="E58" s="36" t="n">
        <f aca="false">IFERROR(E57-E56,0)</f>
        <v>-14338.5363</v>
      </c>
      <c r="F58" s="21"/>
      <c r="G58" s="21"/>
      <c r="H58" s="35" t="str">
        <f aca="false">IF(E58=0,"-",IF(C58&lt;=0,"GOOD!",IF(C58&lt;=0.01,"CAUTION!","BAD!")))</f>
        <v>GOOD!</v>
      </c>
      <c r="I58" s="35" t="str">
        <f aca="false">IFERROR(IF(E58&gt;0,"TRIM "&amp;TEXT(ABS(E58)/D56,"#,##0")&amp;" HRS TO HIT TARGET","ROOM FOR "&amp;TEXT(ABS(E58)/D56,"#,##0")&amp;" HRS IF NEEDED"),"-")</f>
        <v>ROOM FOR 574 HRS IF NEEDED</v>
      </c>
    </row>
    <row r="60" customFormat="false" ht="16.5" hidden="false" customHeight="true" outlineLevel="0" collapsed="false">
      <c r="A60" s="38" t="s">
        <v>98</v>
      </c>
      <c r="B60" s="38"/>
      <c r="C60" s="38"/>
      <c r="D60" s="38"/>
      <c r="E60" s="38"/>
      <c r="F60" s="38"/>
      <c r="G60" s="38"/>
      <c r="H60" s="38"/>
      <c r="I60" s="38"/>
    </row>
    <row r="61" customFormat="false" ht="15" hidden="false" customHeight="true" outlineLevel="0" collapsed="false">
      <c r="A61" s="14" t="s">
        <v>105</v>
      </c>
      <c r="B61" s="39" t="n">
        <v>7667</v>
      </c>
      <c r="C61" s="40" t="n">
        <v>0.1089</v>
      </c>
      <c r="D61" s="41" t="n">
        <v>25</v>
      </c>
      <c r="E61" s="28" t="n">
        <f aca="false">IFERROR(B61*C61,0)</f>
        <v>834.9363</v>
      </c>
      <c r="F61" s="42" t="n">
        <f aca="false">IFERROR(E61/D61,0)</f>
        <v>33.397452</v>
      </c>
    </row>
    <row r="62" customFormat="false" ht="15" hidden="false" customHeight="true" outlineLevel="0" collapsed="false">
      <c r="A62" s="14" t="s">
        <v>106</v>
      </c>
      <c r="B62" s="39"/>
      <c r="C62" s="40"/>
      <c r="D62" s="41"/>
      <c r="E62" s="28" t="n">
        <f aca="false">IFERROR(B62*C62,0)</f>
        <v>0</v>
      </c>
      <c r="F62" s="42" t="n">
        <f aca="false">IFERROR(E62/D62,0)</f>
        <v>0</v>
      </c>
      <c r="G62" s="32" t="n">
        <f aca="false">IFERROR(E62/F62,0)</f>
        <v>0</v>
      </c>
    </row>
    <row r="63" customFormat="false" ht="15" hidden="false" customHeight="true" outlineLevel="0" collapsed="false">
      <c r="A63" s="18" t="s">
        <v>81</v>
      </c>
      <c r="B63" s="36" t="n">
        <f aca="false">IFERROR(B62-B61,0)</f>
        <v>-7667</v>
      </c>
      <c r="C63" s="37" t="n">
        <f aca="false">IFERROR(C62-C61,0)</f>
        <v>-0.1089</v>
      </c>
      <c r="D63" s="21"/>
      <c r="E63" s="36" t="n">
        <f aca="false">IFERROR(E62-E61,0)</f>
        <v>-834.9363</v>
      </c>
      <c r="F63" s="21"/>
      <c r="G63" s="21"/>
      <c r="H63" s="35" t="str">
        <f aca="false">IF(E63=0,"-",IF(C63&lt;=0,"GOOD!",IF(C63&lt;=0.01,"CAUTION!","BAD!")))</f>
        <v>GOOD!</v>
      </c>
      <c r="I63" s="35" t="str">
        <f aca="false">IFERROR(IF(E63&gt;0,"TRIM "&amp;TEXT(ABS(E63)/D61,"#,##0")&amp;" HRS TO HIT TARGET","ROOM FOR "&amp;TEXT(ABS(E63)/D61,"#,##0")&amp;" HRS IF NEEDED"),"-")</f>
        <v>ROOM FOR 33 HRS IF NEEDED</v>
      </c>
    </row>
    <row r="65" customFormat="false" ht="16.5" hidden="false" customHeight="true" outlineLevel="0" collapsed="false">
      <c r="A65" s="38" t="s">
        <v>99</v>
      </c>
      <c r="B65" s="38"/>
      <c r="C65" s="38"/>
      <c r="D65" s="38"/>
      <c r="E65" s="38"/>
      <c r="F65" s="38"/>
      <c r="G65" s="38"/>
      <c r="H65" s="38"/>
      <c r="I65" s="38"/>
    </row>
    <row r="66" customFormat="false" ht="15" hidden="false" customHeight="true" outlineLevel="0" collapsed="false">
      <c r="A66" s="14" t="s">
        <v>105</v>
      </c>
      <c r="B66" s="39" t="n">
        <v>3100</v>
      </c>
      <c r="C66" s="40" t="n">
        <v>0.1089</v>
      </c>
      <c r="D66" s="41" t="n">
        <v>25</v>
      </c>
      <c r="E66" s="28" t="n">
        <f aca="false">IFERROR(B66*C66,0)</f>
        <v>337.59</v>
      </c>
      <c r="F66" s="42" t="n">
        <f aca="false">IFERROR(E66/D66,0)</f>
        <v>13.5036</v>
      </c>
    </row>
    <row r="67" customFormat="false" ht="15" hidden="false" customHeight="true" outlineLevel="0" collapsed="false">
      <c r="A67" s="14" t="s">
        <v>106</v>
      </c>
      <c r="B67" s="39"/>
      <c r="C67" s="40"/>
      <c r="D67" s="41"/>
      <c r="E67" s="28" t="n">
        <f aca="false">IFERROR(B67*C67,0)</f>
        <v>0</v>
      </c>
      <c r="F67" s="42" t="n">
        <f aca="false">IFERROR(E67/D67,0)</f>
        <v>0</v>
      </c>
      <c r="G67" s="32" t="n">
        <f aca="false">IFERROR(E67/F67,0)</f>
        <v>0</v>
      </c>
    </row>
    <row r="68" customFormat="false" ht="15" hidden="false" customHeight="true" outlineLevel="0" collapsed="false">
      <c r="A68" s="18" t="s">
        <v>81</v>
      </c>
      <c r="B68" s="36" t="n">
        <f aca="false">IFERROR(B67-B66,0)</f>
        <v>-3100</v>
      </c>
      <c r="C68" s="37" t="n">
        <f aca="false">IFERROR(C67-C66,0)</f>
        <v>-0.1089</v>
      </c>
      <c r="D68" s="21"/>
      <c r="E68" s="36" t="n">
        <f aca="false">IFERROR(E67-E66,0)</f>
        <v>-337.59</v>
      </c>
      <c r="F68" s="21"/>
      <c r="G68" s="21"/>
      <c r="H68" s="35" t="str">
        <f aca="false">IF(E68=0,"-",IF(C68&lt;=0,"GOOD!",IF(C68&lt;=0.01,"CAUTION!","BAD!")))</f>
        <v>GOOD!</v>
      </c>
      <c r="I68" s="35" t="str">
        <f aca="false">IFERROR(IF(E68&gt;0,"TRIM "&amp;TEXT(ABS(E68)/D66,"#,##0")&amp;" HRS TO HIT TARGET","ROOM FOR "&amp;TEXT(ABS(E68)/D66,"#,##0")&amp;" HRS IF NEEDED"),"-")</f>
        <v>ROOM FOR 14 HRS IF NEEDED</v>
      </c>
    </row>
    <row r="70" customFormat="false" ht="16.5" hidden="false" customHeight="true" outlineLevel="0" collapsed="false">
      <c r="A70" s="38" t="s">
        <v>100</v>
      </c>
      <c r="B70" s="38"/>
      <c r="C70" s="38"/>
      <c r="D70" s="38"/>
      <c r="E70" s="38"/>
      <c r="F70" s="38"/>
      <c r="G70" s="38"/>
      <c r="H70" s="38"/>
      <c r="I70" s="38"/>
    </row>
    <row r="71" customFormat="false" ht="15" hidden="false" customHeight="true" outlineLevel="0" collapsed="false">
      <c r="A71" s="14" t="s">
        <v>105</v>
      </c>
      <c r="B71" s="39" t="n">
        <v>69667</v>
      </c>
      <c r="C71" s="40" t="n">
        <v>0.1089</v>
      </c>
      <c r="D71" s="41" t="n">
        <v>25</v>
      </c>
      <c r="E71" s="28" t="n">
        <f aca="false">IFERROR(B71*C71,0)</f>
        <v>7586.7363</v>
      </c>
      <c r="F71" s="42" t="n">
        <f aca="false">IFERROR(E71/D71,0)</f>
        <v>303.469452</v>
      </c>
    </row>
    <row r="72" customFormat="false" ht="15" hidden="false" customHeight="true" outlineLevel="0" collapsed="false">
      <c r="A72" s="14" t="s">
        <v>106</v>
      </c>
      <c r="B72" s="39"/>
      <c r="C72" s="40"/>
      <c r="D72" s="41"/>
      <c r="E72" s="28" t="n">
        <f aca="false">IFERROR(B72*C72,0)</f>
        <v>0</v>
      </c>
      <c r="F72" s="42" t="n">
        <f aca="false">IFERROR(E72/D72,0)</f>
        <v>0</v>
      </c>
      <c r="G72" s="32" t="n">
        <f aca="false">IFERROR(E72/F72,0)</f>
        <v>0</v>
      </c>
    </row>
    <row r="73" customFormat="false" ht="15" hidden="false" customHeight="true" outlineLevel="0" collapsed="false">
      <c r="A73" s="18" t="s">
        <v>81</v>
      </c>
      <c r="B73" s="36" t="n">
        <f aca="false">IFERROR(B72-B71,0)</f>
        <v>-69667</v>
      </c>
      <c r="C73" s="37" t="n">
        <f aca="false">IFERROR(C72-C71,0)</f>
        <v>-0.1089</v>
      </c>
      <c r="D73" s="21"/>
      <c r="E73" s="36" t="n">
        <f aca="false">IFERROR(E72-E71,0)</f>
        <v>-7586.7363</v>
      </c>
      <c r="F73" s="21"/>
      <c r="G73" s="21"/>
      <c r="H73" s="35" t="str">
        <f aca="false">IF(E73=0,"-",IF(C73&lt;=0,"GOOD!",IF(C73&lt;=0.01,"CAUTION!","BAD!")))</f>
        <v>GOOD!</v>
      </c>
      <c r="I73" s="35" t="str">
        <f aca="false">IFERROR(IF(E73&gt;0,"TRIM "&amp;TEXT(ABS(E73)/D71,"#,##0")&amp;" HRS TO HIT TARGET","ROOM FOR "&amp;TEXT(ABS(E73)/D71,"#,##0")&amp;" HRS IF NEEDED"),"-")</f>
        <v>ROOM FOR 303 HRS IF NEEDED</v>
      </c>
    </row>
    <row r="75" customFormat="false" ht="16.5" hidden="false" customHeight="true" outlineLevel="0" collapsed="false">
      <c r="A75" s="38" t="s">
        <v>119</v>
      </c>
      <c r="B75" s="38"/>
      <c r="C75" s="38"/>
      <c r="D75" s="38"/>
      <c r="E75" s="38"/>
      <c r="F75" s="38"/>
      <c r="G75" s="38"/>
      <c r="H75" s="38"/>
      <c r="I75" s="38"/>
    </row>
    <row r="76" customFormat="false" ht="15" hidden="false" customHeight="true" outlineLevel="0" collapsed="false">
      <c r="A76" s="14" t="s">
        <v>105</v>
      </c>
      <c r="C76" s="40" t="n">
        <v>0.02</v>
      </c>
      <c r="D76" s="41" t="n">
        <v>25</v>
      </c>
      <c r="E76" s="28" t="n">
        <f aca="false">IFERROR(C76*B82,0)</f>
        <v>30948.7</v>
      </c>
      <c r="F76" s="42" t="n">
        <f aca="false">IFERROR(E76/D76,0)</f>
        <v>1237.948</v>
      </c>
    </row>
    <row r="77" customFormat="false" ht="15" hidden="false" customHeight="true" outlineLevel="0" collapsed="false">
      <c r="A77" s="14" t="s">
        <v>106</v>
      </c>
      <c r="C77" s="40"/>
      <c r="D77" s="41"/>
      <c r="E77" s="28" t="n">
        <f aca="false">IFERROR(C77*B83,0)</f>
        <v>0</v>
      </c>
      <c r="F77" s="42" t="n">
        <f aca="false">IFERROR(E77/D77,0)</f>
        <v>0</v>
      </c>
      <c r="G77" s="32" t="n">
        <f aca="false">IFERROR(E77/F77,0)</f>
        <v>0</v>
      </c>
    </row>
    <row r="78" customFormat="false" ht="15" hidden="false" customHeight="true" outlineLevel="0" collapsed="false">
      <c r="A78" s="18" t="s">
        <v>81</v>
      </c>
      <c r="B78" s="21"/>
      <c r="C78" s="37" t="n">
        <f aca="false">IFERROR(C77-C76,0)</f>
        <v>-0.02</v>
      </c>
      <c r="D78" s="21"/>
      <c r="E78" s="36" t="n">
        <f aca="false">IFERROR(E77-E76,0)</f>
        <v>-30948.7</v>
      </c>
      <c r="F78" s="21"/>
      <c r="G78" s="21"/>
      <c r="H78" s="35" t="str">
        <f aca="false">IF(E78=0,"-",IF(C78&lt;=0,"GOOD!",IF(C78&lt;=0.01,"CAUTION!","BAD!")))</f>
        <v>GOOD!</v>
      </c>
      <c r="I78" s="35" t="str">
        <f aca="false">IFERROR(IF(E78&gt;0,"TRIM "&amp;TEXT(ABS(E78)/D76,"#,##0")&amp;" HRS TO HIT TARGET","ROOM FOR "&amp;TEXT(ABS(E78)/D76,"#,##0")&amp;" HRS IF NEEDED"),"-")</f>
        <v>ROOM FOR 1,238 HRS IF NEEDED</v>
      </c>
    </row>
    <row r="81" customFormat="false" ht="19.5" hidden="false" customHeight="true" outlineLevel="0" collapsed="false">
      <c r="A81" s="43" t="s">
        <v>102</v>
      </c>
      <c r="B81" s="43"/>
      <c r="C81" s="43"/>
      <c r="D81" s="43"/>
      <c r="E81" s="43"/>
      <c r="F81" s="43"/>
      <c r="G81" s="43"/>
      <c r="H81" s="43"/>
      <c r="I81" s="43"/>
    </row>
    <row r="82" customFormat="false" ht="15" hidden="false" customHeight="true" outlineLevel="0" collapsed="false">
      <c r="A82" s="12" t="s">
        <v>105</v>
      </c>
      <c r="B82" s="28" t="n">
        <f aca="false">B31+B36+B41+B46+B51+B56+B61+B66+B71</f>
        <v>1547435</v>
      </c>
      <c r="C82" s="30" t="n">
        <f aca="false">IFERROR(E82/B82,0)</f>
        <v>0.1289</v>
      </c>
      <c r="E82" s="28" t="n">
        <f aca="false">E31+E36+E41+E46+E51+E56+E61+E66+E71+E76</f>
        <v>199464.3715</v>
      </c>
      <c r="F82" s="42" t="n">
        <f aca="false">F31+F36+F41+F46+F51+F56+F61+F66+F71+F76</f>
        <v>7978.57486</v>
      </c>
    </row>
    <row r="83" customFormat="false" ht="15" hidden="false" customHeight="true" outlineLevel="0" collapsed="false">
      <c r="A83" s="12" t="s">
        <v>106</v>
      </c>
      <c r="B83" s="28" t="n">
        <f aca="false">B32+B37+B42+B47+B52+B57+B62+B67+B72</f>
        <v>0</v>
      </c>
      <c r="C83" s="30" t="n">
        <f aca="false">IFERROR(E83/B83,0)</f>
        <v>0</v>
      </c>
      <c r="E83" s="28" t="n">
        <f aca="false">E32+E37+E42+E47+E52+E57+E62+E67+E72+E77</f>
        <v>0</v>
      </c>
      <c r="F83" s="42" t="n">
        <f aca="false">F32+F37+F42+F47+F52+F57+F62+F67+F72+F77</f>
        <v>0</v>
      </c>
      <c r="G83" s="32" t="n">
        <f aca="false">IFERROR(E83/F83,0)</f>
        <v>0</v>
      </c>
    </row>
    <row r="84" customFormat="false" ht="15" hidden="false" customHeight="true" outlineLevel="0" collapsed="false">
      <c r="A84" s="26" t="s">
        <v>81</v>
      </c>
      <c r="B84" s="36" t="n">
        <f aca="false">IFERROR(B83-B82,0)</f>
        <v>-1547435</v>
      </c>
      <c r="C84" s="37" t="n">
        <f aca="false">IFERROR(C83-C82,0)</f>
        <v>-0.1289</v>
      </c>
      <c r="D84" s="21"/>
      <c r="E84" s="36" t="n">
        <f aca="false">IFERROR(E83-E82,0)</f>
        <v>-199464.3715</v>
      </c>
      <c r="F84" s="21"/>
      <c r="G84" s="21"/>
      <c r="H84" s="35" t="str">
        <f aca="false">IF(E84=0,"-",IF(C84&lt;=0,"GOOD!",IF(C84&lt;=0.01,"CAUTION!","BAD!")))</f>
        <v>GOOD!</v>
      </c>
      <c r="I84" s="35" t="str">
        <f aca="false">IFERROR(IF(E84&gt;0,"TRIM "&amp;TEXT(ABS(E84)/IFERROR(E82/F82,25),"#,##0")&amp;" HRS TO HIT TARGET","ROOM FOR "&amp;TEXT(ABS(E84)/IFERROR(E82/F82,25),"#,##0")&amp;" HRS IF NEEDED"),"-")</f>
        <v>ROOM FOR 7,979 HRS IF NEEDED</v>
      </c>
    </row>
  </sheetData>
  <mergeCells count="15">
    <mergeCell ref="A1:I1"/>
    <mergeCell ref="A3:I3"/>
    <mergeCell ref="A12:I12"/>
    <mergeCell ref="A28:I28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1:I81"/>
  </mergeCells>
  <conditionalFormatting sqref="G14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G15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G16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G17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G18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G19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G20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G21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G22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G23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G24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conditionalFormatting sqref="G25">
    <cfRule type="cellIs" priority="35" operator="equal" aboveAverage="0" equalAverage="0" bottom="0" percent="0" rank="0" text="" dxfId="0">
      <formula>"GOOD!"</formula>
    </cfRule>
    <cfRule type="cellIs" priority="36" operator="equal" aboveAverage="0" equalAverage="0" bottom="0" percent="0" rank="0" text="" dxfId="1">
      <formula>"CAUTION!"</formula>
    </cfRule>
    <cfRule type="cellIs" priority="37" operator="equal" aboveAverage="0" equalAverage="0" bottom="0" percent="0" rank="0" text="" dxfId="2">
      <formula>"BAD!"</formula>
    </cfRule>
  </conditionalFormatting>
  <conditionalFormatting sqref="H33">
    <cfRule type="cellIs" priority="38" operator="equal" aboveAverage="0" equalAverage="0" bottom="0" percent="0" rank="0" text="" dxfId="0">
      <formula>"GOOD!"</formula>
    </cfRule>
    <cfRule type="cellIs" priority="39" operator="equal" aboveAverage="0" equalAverage="0" bottom="0" percent="0" rank="0" text="" dxfId="1">
      <formula>"CAUTION!"</formula>
    </cfRule>
    <cfRule type="cellIs" priority="40" operator="equal" aboveAverage="0" equalAverage="0" bottom="0" percent="0" rank="0" text="" dxfId="2">
      <formula>"BAD!"</formula>
    </cfRule>
  </conditionalFormatting>
  <conditionalFormatting sqref="H38">
    <cfRule type="cellIs" priority="41" operator="equal" aboveAverage="0" equalAverage="0" bottom="0" percent="0" rank="0" text="" dxfId="0">
      <formula>"GOOD!"</formula>
    </cfRule>
    <cfRule type="cellIs" priority="42" operator="equal" aboveAverage="0" equalAverage="0" bottom="0" percent="0" rank="0" text="" dxfId="1">
      <formula>"CAUTION!"</formula>
    </cfRule>
    <cfRule type="cellIs" priority="43" operator="equal" aboveAverage="0" equalAverage="0" bottom="0" percent="0" rank="0" text="" dxfId="2">
      <formula>"BAD!"</formula>
    </cfRule>
  </conditionalFormatting>
  <conditionalFormatting sqref="H43">
    <cfRule type="cellIs" priority="44" operator="equal" aboveAverage="0" equalAverage="0" bottom="0" percent="0" rank="0" text="" dxfId="0">
      <formula>"GOOD!"</formula>
    </cfRule>
    <cfRule type="cellIs" priority="45" operator="equal" aboveAverage="0" equalAverage="0" bottom="0" percent="0" rank="0" text="" dxfId="1">
      <formula>"CAUTION!"</formula>
    </cfRule>
    <cfRule type="cellIs" priority="46" operator="equal" aboveAverage="0" equalAverage="0" bottom="0" percent="0" rank="0" text="" dxfId="2">
      <formula>"BAD!"</formula>
    </cfRule>
  </conditionalFormatting>
  <conditionalFormatting sqref="H48">
    <cfRule type="cellIs" priority="47" operator="equal" aboveAverage="0" equalAverage="0" bottom="0" percent="0" rank="0" text="" dxfId="0">
      <formula>"GOOD!"</formula>
    </cfRule>
    <cfRule type="cellIs" priority="48" operator="equal" aboveAverage="0" equalAverage="0" bottom="0" percent="0" rank="0" text="" dxfId="1">
      <formula>"CAUTION!"</formula>
    </cfRule>
    <cfRule type="cellIs" priority="49" operator="equal" aboveAverage="0" equalAverage="0" bottom="0" percent="0" rank="0" text="" dxfId="2">
      <formula>"BAD!"</formula>
    </cfRule>
  </conditionalFormatting>
  <conditionalFormatting sqref="H53">
    <cfRule type="cellIs" priority="50" operator="equal" aboveAverage="0" equalAverage="0" bottom="0" percent="0" rank="0" text="" dxfId="0">
      <formula>"GOOD!"</formula>
    </cfRule>
    <cfRule type="cellIs" priority="51" operator="equal" aboveAverage="0" equalAverage="0" bottom="0" percent="0" rank="0" text="" dxfId="1">
      <formula>"CAUTION!"</formula>
    </cfRule>
    <cfRule type="cellIs" priority="52" operator="equal" aboveAverage="0" equalAverage="0" bottom="0" percent="0" rank="0" text="" dxfId="2">
      <formula>"BAD!"</formula>
    </cfRule>
  </conditionalFormatting>
  <conditionalFormatting sqref="H58">
    <cfRule type="cellIs" priority="53" operator="equal" aboveAverage="0" equalAverage="0" bottom="0" percent="0" rank="0" text="" dxfId="0">
      <formula>"GOOD!"</formula>
    </cfRule>
    <cfRule type="cellIs" priority="54" operator="equal" aboveAverage="0" equalAverage="0" bottom="0" percent="0" rank="0" text="" dxfId="1">
      <formula>"CAUTION!"</formula>
    </cfRule>
    <cfRule type="cellIs" priority="55" operator="equal" aboveAverage="0" equalAverage="0" bottom="0" percent="0" rank="0" text="" dxfId="2">
      <formula>"BAD!"</formula>
    </cfRule>
  </conditionalFormatting>
  <conditionalFormatting sqref="H63">
    <cfRule type="cellIs" priority="56" operator="equal" aboveAverage="0" equalAverage="0" bottom="0" percent="0" rank="0" text="" dxfId="0">
      <formula>"GOOD!"</formula>
    </cfRule>
    <cfRule type="cellIs" priority="57" operator="equal" aboveAverage="0" equalAverage="0" bottom="0" percent="0" rank="0" text="" dxfId="1">
      <formula>"CAUTION!"</formula>
    </cfRule>
    <cfRule type="cellIs" priority="58" operator="equal" aboveAverage="0" equalAverage="0" bottom="0" percent="0" rank="0" text="" dxfId="2">
      <formula>"BAD!"</formula>
    </cfRule>
  </conditionalFormatting>
  <conditionalFormatting sqref="H68">
    <cfRule type="cellIs" priority="59" operator="equal" aboveAverage="0" equalAverage="0" bottom="0" percent="0" rank="0" text="" dxfId="0">
      <formula>"GOOD!"</formula>
    </cfRule>
    <cfRule type="cellIs" priority="60" operator="equal" aboveAverage="0" equalAverage="0" bottom="0" percent="0" rank="0" text="" dxfId="1">
      <formula>"CAUTION!"</formula>
    </cfRule>
    <cfRule type="cellIs" priority="61" operator="equal" aboveAverage="0" equalAverage="0" bottom="0" percent="0" rank="0" text="" dxfId="2">
      <formula>"BAD!"</formula>
    </cfRule>
  </conditionalFormatting>
  <conditionalFormatting sqref="H73">
    <cfRule type="cellIs" priority="62" operator="equal" aboveAverage="0" equalAverage="0" bottom="0" percent="0" rank="0" text="" dxfId="0">
      <formula>"GOOD!"</formula>
    </cfRule>
    <cfRule type="cellIs" priority="63" operator="equal" aboveAverage="0" equalAverage="0" bottom="0" percent="0" rank="0" text="" dxfId="1">
      <formula>"CAUTION!"</formula>
    </cfRule>
    <cfRule type="cellIs" priority="64" operator="equal" aboveAverage="0" equalAverage="0" bottom="0" percent="0" rank="0" text="" dxfId="2">
      <formula>"BAD!"</formula>
    </cfRule>
  </conditionalFormatting>
  <conditionalFormatting sqref="H78">
    <cfRule type="cellIs" priority="65" operator="equal" aboveAverage="0" equalAverage="0" bottom="0" percent="0" rank="0" text="" dxfId="0">
      <formula>"GOOD!"</formula>
    </cfRule>
    <cfRule type="cellIs" priority="66" operator="equal" aboveAverage="0" equalAverage="0" bottom="0" percent="0" rank="0" text="" dxfId="1">
      <formula>"CAUTION!"</formula>
    </cfRule>
    <cfRule type="cellIs" priority="67" operator="equal" aboveAverage="0" equalAverage="0" bottom="0" percent="0" rank="0" text="" dxfId="2">
      <formula>"BAD!"</formula>
    </cfRule>
  </conditionalFormatting>
  <conditionalFormatting sqref="H84">
    <cfRule type="cellIs" priority="68" operator="equal" aboveAverage="0" equalAverage="0" bottom="0" percent="0" rank="0" text="" dxfId="0">
      <formula>"GOOD!"</formula>
    </cfRule>
    <cfRule type="cellIs" priority="69" operator="equal" aboveAverage="0" equalAverage="0" bottom="0" percent="0" rank="0" text="" dxfId="1">
      <formula>"CAUTION!"</formula>
    </cfRule>
    <cfRule type="cellIs" priority="70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21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104</v>
      </c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2"/>
      <c r="B4" s="13" t="s">
        <v>105</v>
      </c>
      <c r="C4" s="13" t="s">
        <v>106</v>
      </c>
      <c r="D4" s="13" t="s">
        <v>81</v>
      </c>
      <c r="E4" s="13" t="s">
        <v>82</v>
      </c>
      <c r="F4" s="27"/>
      <c r="G4" s="27"/>
      <c r="H4" s="27"/>
      <c r="I4" s="27"/>
    </row>
    <row r="5" customFormat="false" ht="15" hidden="false" customHeight="false" outlineLevel="0" collapsed="false">
      <c r="A5" s="14" t="s">
        <v>83</v>
      </c>
      <c r="B5" s="28" t="n">
        <f aca="false">B82</f>
        <v>1547435</v>
      </c>
      <c r="C5" s="28" t="n">
        <f aca="false">B83</f>
        <v>0</v>
      </c>
      <c r="D5" s="28" t="n">
        <f aca="false">IFERROR(B83-B82,0)</f>
        <v>-1547435</v>
      </c>
      <c r="E5" s="29" t="str">
        <f aca="false">IF(B83&gt;=B82,"GOOD!","BELOW PLAN")</f>
        <v>BELOW PLAN</v>
      </c>
    </row>
    <row r="6" customFormat="false" ht="15" hidden="false" customHeight="false" outlineLevel="0" collapsed="false">
      <c r="A6" s="5" t="s">
        <v>84</v>
      </c>
      <c r="B6" s="28" t="n">
        <f aca="false">E82</f>
        <v>199464.3715</v>
      </c>
      <c r="C6" s="28" t="n">
        <f aca="false">E83</f>
        <v>0</v>
      </c>
      <c r="D6" s="28" t="n">
        <f aca="false">IFERROR(E83-E82,0)</f>
        <v>-199464.3715</v>
      </c>
      <c r="E6" s="29" t="str">
        <f aca="false">H84</f>
        <v>GOOD!</v>
      </c>
    </row>
    <row r="7" customFormat="false" ht="15" hidden="false" customHeight="false" outlineLevel="0" collapsed="false">
      <c r="A7" s="14" t="s">
        <v>28</v>
      </c>
      <c r="B7" s="30" t="n">
        <f aca="false">C82</f>
        <v>0.1289</v>
      </c>
      <c r="C7" s="30" t="n">
        <f aca="false">C83</f>
        <v>0</v>
      </c>
      <c r="D7" s="31" t="n">
        <f aca="false">IFERROR(C83-C82,0)</f>
        <v>-0.1289</v>
      </c>
      <c r="E7" s="29" t="str">
        <f aca="false">H84</f>
        <v>GOOD!</v>
      </c>
    </row>
    <row r="8" customFormat="false" ht="15" hidden="false" customHeight="false" outlineLevel="0" collapsed="false">
      <c r="A8" s="5" t="s">
        <v>59</v>
      </c>
      <c r="B8" s="29" t="s">
        <v>85</v>
      </c>
      <c r="C8" s="32" t="n">
        <f aca="false">G83</f>
        <v>0</v>
      </c>
      <c r="D8" s="29" t="s">
        <v>85</v>
      </c>
    </row>
    <row r="9" customFormat="false" ht="15" hidden="false" customHeight="false" outlineLevel="0" collapsed="false">
      <c r="A9" s="18" t="s">
        <v>107</v>
      </c>
      <c r="B9" s="33" t="n">
        <f aca="false">F82</f>
        <v>7978.57486</v>
      </c>
      <c r="C9" s="33" t="n">
        <f aca="false">F83</f>
        <v>0</v>
      </c>
      <c r="D9" s="34" t="n">
        <f aca="false">IFERROR(F83-F82,0)</f>
        <v>-7978.57486</v>
      </c>
      <c r="E9" s="35" t="str">
        <f aca="false">H84</f>
        <v>GOOD!</v>
      </c>
      <c r="F9" s="21"/>
      <c r="G9" s="21"/>
      <c r="H9" s="21"/>
      <c r="I9" s="21"/>
    </row>
    <row r="12" customFormat="false" ht="15" hidden="false" customHeight="false" outlineLevel="0" collapsed="false">
      <c r="A12" s="11" t="s">
        <v>108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87</v>
      </c>
      <c r="B13" s="13" t="s">
        <v>109</v>
      </c>
      <c r="C13" s="13" t="s">
        <v>110</v>
      </c>
      <c r="D13" s="13" t="s">
        <v>90</v>
      </c>
      <c r="E13" s="13" t="s">
        <v>111</v>
      </c>
      <c r="F13" s="13" t="s">
        <v>112</v>
      </c>
      <c r="G13" s="13" t="s">
        <v>82</v>
      </c>
      <c r="H13" s="13" t="s">
        <v>113</v>
      </c>
    </row>
    <row r="14" customFormat="false" ht="15" hidden="false" customHeight="false" outlineLevel="0" collapsed="false">
      <c r="A14" s="14" t="s">
        <v>92</v>
      </c>
      <c r="B14" s="28" t="n">
        <f aca="false">E31</f>
        <v>82401.0363</v>
      </c>
      <c r="C14" s="28" t="n">
        <f aca="false">E32</f>
        <v>0</v>
      </c>
      <c r="D14" s="31" t="n">
        <f aca="false">C32</f>
        <v>0</v>
      </c>
      <c r="E14" s="28" t="n">
        <f aca="false">E33</f>
        <v>-82401.0363</v>
      </c>
      <c r="F14" s="31" t="n">
        <f aca="false">C33</f>
        <v>-0.1089</v>
      </c>
      <c r="G14" s="29" t="str">
        <f aca="false">H33</f>
        <v>GOOD!</v>
      </c>
      <c r="H14" s="29" t="str">
        <f aca="false">I33</f>
        <v>ROOM FOR 3,296 HRS IF NEEDED</v>
      </c>
    </row>
    <row r="15" customFormat="false" ht="15" hidden="false" customHeight="false" outlineLevel="0" collapsed="false">
      <c r="A15" s="5" t="s">
        <v>93</v>
      </c>
      <c r="B15" s="28" t="n">
        <f aca="false">E36</f>
        <v>17750.7</v>
      </c>
      <c r="C15" s="28" t="n">
        <f aca="false">E37</f>
        <v>0</v>
      </c>
      <c r="D15" s="31" t="n">
        <f aca="false">C37</f>
        <v>0</v>
      </c>
      <c r="E15" s="28" t="n">
        <f aca="false">E38</f>
        <v>-17750.7</v>
      </c>
      <c r="F15" s="31" t="n">
        <f aca="false">C38</f>
        <v>-0.1089</v>
      </c>
      <c r="G15" s="29" t="str">
        <f aca="false">H38</f>
        <v>GOOD!</v>
      </c>
      <c r="H15" s="29" t="str">
        <f aca="false">I38</f>
        <v>ROOM FOR 710 HRS IF NEEDED</v>
      </c>
    </row>
    <row r="16" customFormat="false" ht="15" hidden="false" customHeight="false" outlineLevel="0" collapsed="false">
      <c r="A16" s="14" t="s">
        <v>94</v>
      </c>
      <c r="B16" s="28" t="n">
        <f aca="false">E41</f>
        <v>13176.9</v>
      </c>
      <c r="C16" s="28" t="n">
        <f aca="false">E42</f>
        <v>0</v>
      </c>
      <c r="D16" s="31" t="n">
        <f aca="false">C42</f>
        <v>0</v>
      </c>
      <c r="E16" s="28" t="n">
        <f aca="false">E43</f>
        <v>-13176.9</v>
      </c>
      <c r="F16" s="31" t="n">
        <f aca="false">C43</f>
        <v>-0.1089</v>
      </c>
      <c r="G16" s="29" t="str">
        <f aca="false">H43</f>
        <v>GOOD!</v>
      </c>
      <c r="H16" s="29" t="str">
        <f aca="false">I43</f>
        <v>ROOM FOR 527 HRS IF NEEDED</v>
      </c>
    </row>
    <row r="17" customFormat="false" ht="15" hidden="false" customHeight="false" outlineLevel="0" collapsed="false">
      <c r="A17" s="5" t="s">
        <v>95</v>
      </c>
      <c r="B17" s="28" t="n">
        <f aca="false">E46</f>
        <v>17750.7</v>
      </c>
      <c r="C17" s="28" t="n">
        <f aca="false">E47</f>
        <v>0</v>
      </c>
      <c r="D17" s="31" t="n">
        <f aca="false">C47</f>
        <v>0</v>
      </c>
      <c r="E17" s="28" t="n">
        <f aca="false">E48</f>
        <v>-17750.7</v>
      </c>
      <c r="F17" s="31" t="n">
        <f aca="false">C48</f>
        <v>-0.1089</v>
      </c>
      <c r="G17" s="29" t="str">
        <f aca="false">H48</f>
        <v>GOOD!</v>
      </c>
      <c r="H17" s="29" t="str">
        <f aca="false">I48</f>
        <v>ROOM FOR 710 HRS IF NEEDED</v>
      </c>
    </row>
    <row r="18" customFormat="false" ht="15" hidden="false" customHeight="false" outlineLevel="0" collapsed="false">
      <c r="A18" s="14" t="s">
        <v>96</v>
      </c>
      <c r="B18" s="28" t="n">
        <f aca="false">E51</f>
        <v>14338.5363</v>
      </c>
      <c r="C18" s="28" t="n">
        <f aca="false">E52</f>
        <v>0</v>
      </c>
      <c r="D18" s="31" t="n">
        <f aca="false">C52</f>
        <v>0</v>
      </c>
      <c r="E18" s="28" t="n">
        <f aca="false">E53</f>
        <v>-14338.5363</v>
      </c>
      <c r="F18" s="31" t="n">
        <f aca="false">C53</f>
        <v>-0.1089</v>
      </c>
      <c r="G18" s="29" t="str">
        <f aca="false">H53</f>
        <v>GOOD!</v>
      </c>
      <c r="H18" s="29" t="str">
        <f aca="false">I53</f>
        <v>ROOM FOR 574 HRS IF NEEDED</v>
      </c>
    </row>
    <row r="19" customFormat="false" ht="15" hidden="false" customHeight="false" outlineLevel="0" collapsed="false">
      <c r="A19" s="5" t="s">
        <v>97</v>
      </c>
      <c r="B19" s="28" t="n">
        <f aca="false">E56</f>
        <v>14338.5363</v>
      </c>
      <c r="C19" s="28" t="n">
        <f aca="false">E57</f>
        <v>0</v>
      </c>
      <c r="D19" s="31" t="n">
        <f aca="false">C57</f>
        <v>0</v>
      </c>
      <c r="E19" s="28" t="n">
        <f aca="false">E58</f>
        <v>-14338.5363</v>
      </c>
      <c r="F19" s="31" t="n">
        <f aca="false">C58</f>
        <v>-0.1089</v>
      </c>
      <c r="G19" s="29" t="str">
        <f aca="false">H58</f>
        <v>GOOD!</v>
      </c>
      <c r="H19" s="29" t="str">
        <f aca="false">I58</f>
        <v>ROOM FOR 574 HRS IF NEEDED</v>
      </c>
    </row>
    <row r="20" customFormat="false" ht="15" hidden="false" customHeight="false" outlineLevel="0" collapsed="false">
      <c r="A20" s="14" t="s">
        <v>98</v>
      </c>
      <c r="B20" s="28" t="n">
        <f aca="false">E61</f>
        <v>834.9363</v>
      </c>
      <c r="C20" s="28" t="n">
        <f aca="false">E62</f>
        <v>0</v>
      </c>
      <c r="D20" s="31" t="n">
        <f aca="false">C62</f>
        <v>0</v>
      </c>
      <c r="E20" s="28" t="n">
        <f aca="false">E63</f>
        <v>-834.9363</v>
      </c>
      <c r="F20" s="31" t="n">
        <f aca="false">C63</f>
        <v>-0.1089</v>
      </c>
      <c r="G20" s="29" t="str">
        <f aca="false">H63</f>
        <v>GOOD!</v>
      </c>
      <c r="H20" s="29" t="str">
        <f aca="false">I63</f>
        <v>ROOM FOR 33 HRS IF NEEDED</v>
      </c>
    </row>
    <row r="21" customFormat="false" ht="15" hidden="false" customHeight="false" outlineLevel="0" collapsed="false">
      <c r="A21" s="5" t="s">
        <v>99</v>
      </c>
      <c r="B21" s="28" t="n">
        <f aca="false">E66</f>
        <v>337.59</v>
      </c>
      <c r="C21" s="28" t="n">
        <f aca="false">E67</f>
        <v>0</v>
      </c>
      <c r="D21" s="31" t="n">
        <f aca="false">C67</f>
        <v>0</v>
      </c>
      <c r="E21" s="28" t="n">
        <f aca="false">E68</f>
        <v>-337.59</v>
      </c>
      <c r="F21" s="31" t="n">
        <f aca="false">C68</f>
        <v>-0.1089</v>
      </c>
      <c r="G21" s="29" t="str">
        <f aca="false">H68</f>
        <v>GOOD!</v>
      </c>
      <c r="H21" s="29" t="str">
        <f aca="false">I68</f>
        <v>ROOM FOR 14 HRS IF NEEDED</v>
      </c>
    </row>
    <row r="22" customFormat="false" ht="15" hidden="false" customHeight="false" outlineLevel="0" collapsed="false">
      <c r="A22" s="14" t="s">
        <v>100</v>
      </c>
      <c r="B22" s="28" t="n">
        <f aca="false">E71</f>
        <v>7586.7363</v>
      </c>
      <c r="C22" s="28" t="n">
        <f aca="false">E72</f>
        <v>0</v>
      </c>
      <c r="D22" s="31" t="n">
        <f aca="false">C72</f>
        <v>0</v>
      </c>
      <c r="E22" s="28" t="n">
        <f aca="false">E73</f>
        <v>-7586.7363</v>
      </c>
      <c r="F22" s="31" t="n">
        <f aca="false">C73</f>
        <v>-0.1089</v>
      </c>
      <c r="G22" s="29" t="str">
        <f aca="false">H73</f>
        <v>GOOD!</v>
      </c>
      <c r="H22" s="29" t="str">
        <f aca="false">I73</f>
        <v>ROOM FOR 303 HRS IF NEEDED</v>
      </c>
    </row>
    <row r="23" customFormat="false" ht="15" hidden="false" customHeight="false" outlineLevel="0" collapsed="false">
      <c r="A23" s="23" t="s">
        <v>101</v>
      </c>
      <c r="B23" s="36" t="n">
        <f aca="false">E76</f>
        <v>30948.7</v>
      </c>
      <c r="C23" s="36" t="n">
        <f aca="false">E77</f>
        <v>0</v>
      </c>
      <c r="D23" s="37" t="n">
        <f aca="false">C77</f>
        <v>0</v>
      </c>
      <c r="E23" s="36" t="n">
        <f aca="false">E78</f>
        <v>-30948.7</v>
      </c>
      <c r="F23" s="37" t="n">
        <f aca="false">C78</f>
        <v>-0.02</v>
      </c>
      <c r="G23" s="35" t="str">
        <f aca="false">H78</f>
        <v>GOOD!</v>
      </c>
      <c r="H23" s="35" t="str">
        <f aca="false">I78</f>
        <v>ROOM FOR 1,238 HRS IF NEEDED</v>
      </c>
      <c r="I23" s="21"/>
    </row>
    <row r="24" customFormat="false" ht="15" hidden="false" customHeight="false" outlineLevel="0" collapsed="false">
      <c r="A24" s="26" t="s">
        <v>102</v>
      </c>
      <c r="B24" s="36" t="n">
        <f aca="false">E82</f>
        <v>199464.3715</v>
      </c>
      <c r="C24" s="36" t="n">
        <f aca="false">E83</f>
        <v>0</v>
      </c>
      <c r="D24" s="37" t="n">
        <f aca="false">C83</f>
        <v>0</v>
      </c>
      <c r="E24" s="36" t="n">
        <f aca="false">E84</f>
        <v>-199464.3715</v>
      </c>
      <c r="F24" s="37" t="n">
        <f aca="false">C84</f>
        <v>-0.1289</v>
      </c>
      <c r="G24" s="35" t="str">
        <f aca="false">H84</f>
        <v>GOOD!</v>
      </c>
      <c r="H24" s="35" t="str">
        <f aca="false">I84</f>
        <v>ROOM FOR 7,979 HRS IF NEEDED</v>
      </c>
      <c r="I24" s="21"/>
    </row>
    <row r="28" customFormat="false" ht="15" hidden="false" customHeight="false" outlineLevel="0" collapsed="false">
      <c r="A28" s="38" t="s">
        <v>114</v>
      </c>
      <c r="B28" s="38"/>
      <c r="C28" s="38"/>
      <c r="D28" s="38"/>
      <c r="E28" s="38"/>
      <c r="F28" s="38"/>
      <c r="G28" s="38"/>
      <c r="H28" s="38"/>
      <c r="I28" s="38"/>
    </row>
    <row r="29" customFormat="false" ht="15" hidden="false" customHeight="false" outlineLevel="0" collapsed="false">
      <c r="A29" s="12"/>
      <c r="B29" s="13" t="s">
        <v>115</v>
      </c>
      <c r="C29" s="13" t="s">
        <v>28</v>
      </c>
      <c r="D29" s="13" t="s">
        <v>116</v>
      </c>
      <c r="E29" s="13" t="s">
        <v>117</v>
      </c>
      <c r="F29" s="13" t="s">
        <v>118</v>
      </c>
      <c r="G29" s="13" t="s">
        <v>51</v>
      </c>
      <c r="H29" s="13" t="s">
        <v>82</v>
      </c>
      <c r="I29" s="13" t="s">
        <v>113</v>
      </c>
    </row>
    <row r="30" customFormat="false" ht="16.5" hidden="false" customHeight="true" outlineLevel="0" collapsed="false">
      <c r="A30" s="38" t="s">
        <v>92</v>
      </c>
      <c r="B30" s="38"/>
      <c r="C30" s="38"/>
      <c r="D30" s="38"/>
      <c r="E30" s="38"/>
      <c r="F30" s="38"/>
      <c r="G30" s="38"/>
      <c r="H30" s="38"/>
      <c r="I30" s="38"/>
    </row>
    <row r="31" customFormat="false" ht="15" hidden="false" customHeight="true" outlineLevel="0" collapsed="false">
      <c r="A31" s="14" t="s">
        <v>105</v>
      </c>
      <c r="B31" s="39" t="n">
        <v>756667</v>
      </c>
      <c r="C31" s="40" t="n">
        <v>0.1089</v>
      </c>
      <c r="D31" s="41" t="n">
        <v>25</v>
      </c>
      <c r="E31" s="28" t="n">
        <f aca="false">IFERROR(B31*C31,0)</f>
        <v>82401.0363</v>
      </c>
      <c r="F31" s="42" t="n">
        <f aca="false">IFERROR(E31/D31,0)</f>
        <v>3296.041452</v>
      </c>
    </row>
    <row r="32" customFormat="false" ht="15" hidden="false" customHeight="true" outlineLevel="0" collapsed="false">
      <c r="A32" s="14" t="s">
        <v>106</v>
      </c>
      <c r="B32" s="39"/>
      <c r="C32" s="40"/>
      <c r="D32" s="41"/>
      <c r="E32" s="28" t="n">
        <f aca="false">IFERROR(B32*C32,0)</f>
        <v>0</v>
      </c>
      <c r="F32" s="42" t="n">
        <f aca="false">IFERROR(E32/D32,0)</f>
        <v>0</v>
      </c>
      <c r="G32" s="32" t="n">
        <f aca="false">IFERROR(E32/F32,0)</f>
        <v>0</v>
      </c>
    </row>
    <row r="33" customFormat="false" ht="15" hidden="false" customHeight="true" outlineLevel="0" collapsed="false">
      <c r="A33" s="18" t="s">
        <v>81</v>
      </c>
      <c r="B33" s="36" t="n">
        <f aca="false">IFERROR(B32-B31,0)</f>
        <v>-756667</v>
      </c>
      <c r="C33" s="37" t="n">
        <f aca="false">IFERROR(C32-C31,0)</f>
        <v>-0.1089</v>
      </c>
      <c r="D33" s="21"/>
      <c r="E33" s="36" t="n">
        <f aca="false">IFERROR(E32-E31,0)</f>
        <v>-82401.0363</v>
      </c>
      <c r="F33" s="21"/>
      <c r="G33" s="21"/>
      <c r="H33" s="35" t="str">
        <f aca="false">IF(E33=0,"-",IF(C33&lt;=0,"GOOD!",IF(C33&lt;=0.01,"CAUTION!","BAD!")))</f>
        <v>GOOD!</v>
      </c>
      <c r="I33" s="35" t="str">
        <f aca="false">IFERROR(IF(E33&gt;0,"TRIM "&amp;TEXT(ABS(E33)/D31,"#,##0")&amp;" HRS TO HIT TARGET","ROOM FOR "&amp;TEXT(ABS(E33)/D31,"#,##0")&amp;" HRS IF NEEDED"),"-")</f>
        <v>ROOM FOR 3,296 HRS IF NEEDED</v>
      </c>
    </row>
    <row r="35" customFormat="false" ht="16.5" hidden="false" customHeight="true" outlineLevel="0" collapsed="false">
      <c r="A35" s="38" t="s">
        <v>93</v>
      </c>
      <c r="B35" s="38"/>
      <c r="C35" s="38"/>
      <c r="D35" s="38"/>
      <c r="E35" s="38"/>
      <c r="F35" s="38"/>
      <c r="G35" s="38"/>
      <c r="H35" s="38"/>
      <c r="I35" s="38"/>
    </row>
    <row r="36" customFormat="false" ht="15" hidden="false" customHeight="true" outlineLevel="0" collapsed="false">
      <c r="A36" s="14" t="s">
        <v>105</v>
      </c>
      <c r="B36" s="39" t="n">
        <v>163000</v>
      </c>
      <c r="C36" s="40" t="n">
        <v>0.1089</v>
      </c>
      <c r="D36" s="41" t="n">
        <v>25</v>
      </c>
      <c r="E36" s="28" t="n">
        <f aca="false">IFERROR(B36*C36,0)</f>
        <v>17750.7</v>
      </c>
      <c r="F36" s="42" t="n">
        <f aca="false">IFERROR(E36/D36,0)</f>
        <v>710.028</v>
      </c>
    </row>
    <row r="37" customFormat="false" ht="15" hidden="false" customHeight="true" outlineLevel="0" collapsed="false">
      <c r="A37" s="14" t="s">
        <v>106</v>
      </c>
      <c r="B37" s="39"/>
      <c r="C37" s="40"/>
      <c r="D37" s="41"/>
      <c r="E37" s="28" t="n">
        <f aca="false">IFERROR(B37*C37,0)</f>
        <v>0</v>
      </c>
      <c r="F37" s="42" t="n">
        <f aca="false">IFERROR(E37/D37,0)</f>
        <v>0</v>
      </c>
      <c r="G37" s="32" t="n">
        <f aca="false">IFERROR(E37/F37,0)</f>
        <v>0</v>
      </c>
    </row>
    <row r="38" customFormat="false" ht="15" hidden="false" customHeight="true" outlineLevel="0" collapsed="false">
      <c r="A38" s="18" t="s">
        <v>81</v>
      </c>
      <c r="B38" s="36" t="n">
        <f aca="false">IFERROR(B37-B36,0)</f>
        <v>-163000</v>
      </c>
      <c r="C38" s="37" t="n">
        <f aca="false">IFERROR(C37-C36,0)</f>
        <v>-0.1089</v>
      </c>
      <c r="D38" s="21"/>
      <c r="E38" s="36" t="n">
        <f aca="false">IFERROR(E37-E36,0)</f>
        <v>-17750.7</v>
      </c>
      <c r="F38" s="21"/>
      <c r="G38" s="21"/>
      <c r="H38" s="35" t="str">
        <f aca="false">IF(E38=0,"-",IF(C38&lt;=0,"GOOD!",IF(C38&lt;=0.01,"CAUTION!","BAD!")))</f>
        <v>GOOD!</v>
      </c>
      <c r="I38" s="35" t="str">
        <f aca="false">IFERROR(IF(E38&gt;0,"TRIM "&amp;TEXT(ABS(E38)/D36,"#,##0")&amp;" HRS TO HIT TARGET","ROOM FOR "&amp;TEXT(ABS(E38)/D36,"#,##0")&amp;" HRS IF NEEDED"),"-")</f>
        <v>ROOM FOR 710 HRS IF NEEDED</v>
      </c>
    </row>
    <row r="40" customFormat="false" ht="16.5" hidden="false" customHeight="true" outlineLevel="0" collapsed="false">
      <c r="A40" s="38" t="s">
        <v>94</v>
      </c>
      <c r="B40" s="38"/>
      <c r="C40" s="38"/>
      <c r="D40" s="38"/>
      <c r="E40" s="38"/>
      <c r="F40" s="38"/>
      <c r="G40" s="38"/>
      <c r="H40" s="38"/>
      <c r="I40" s="38"/>
    </row>
    <row r="41" customFormat="false" ht="15" hidden="false" customHeight="true" outlineLevel="0" collapsed="false">
      <c r="A41" s="14" t="s">
        <v>105</v>
      </c>
      <c r="B41" s="39" t="n">
        <v>121000</v>
      </c>
      <c r="C41" s="40" t="n">
        <v>0.1089</v>
      </c>
      <c r="D41" s="41" t="n">
        <v>25</v>
      </c>
      <c r="E41" s="28" t="n">
        <f aca="false">IFERROR(B41*C41,0)</f>
        <v>13176.9</v>
      </c>
      <c r="F41" s="42" t="n">
        <f aca="false">IFERROR(E41/D41,0)</f>
        <v>527.076</v>
      </c>
    </row>
    <row r="42" customFormat="false" ht="15" hidden="false" customHeight="true" outlineLevel="0" collapsed="false">
      <c r="A42" s="14" t="s">
        <v>106</v>
      </c>
      <c r="B42" s="39"/>
      <c r="C42" s="40"/>
      <c r="D42" s="41"/>
      <c r="E42" s="28" t="n">
        <f aca="false">IFERROR(B42*C42,0)</f>
        <v>0</v>
      </c>
      <c r="F42" s="42" t="n">
        <f aca="false">IFERROR(E42/D42,0)</f>
        <v>0</v>
      </c>
      <c r="G42" s="32" t="n">
        <f aca="false">IFERROR(E42/F42,0)</f>
        <v>0</v>
      </c>
    </row>
    <row r="43" customFormat="false" ht="15" hidden="false" customHeight="true" outlineLevel="0" collapsed="false">
      <c r="A43" s="18" t="s">
        <v>81</v>
      </c>
      <c r="B43" s="36" t="n">
        <f aca="false">IFERROR(B42-B41,0)</f>
        <v>-121000</v>
      </c>
      <c r="C43" s="37" t="n">
        <f aca="false">IFERROR(C42-C41,0)</f>
        <v>-0.1089</v>
      </c>
      <c r="D43" s="21"/>
      <c r="E43" s="36" t="n">
        <f aca="false">IFERROR(E42-E41,0)</f>
        <v>-13176.9</v>
      </c>
      <c r="F43" s="21"/>
      <c r="G43" s="21"/>
      <c r="H43" s="35" t="str">
        <f aca="false">IF(E43=0,"-",IF(C43&lt;=0,"GOOD!",IF(C43&lt;=0.01,"CAUTION!","BAD!")))</f>
        <v>GOOD!</v>
      </c>
      <c r="I43" s="35" t="str">
        <f aca="false">IFERROR(IF(E43&gt;0,"TRIM "&amp;TEXT(ABS(E43)/D41,"#,##0")&amp;" HRS TO HIT TARGET","ROOM FOR "&amp;TEXT(ABS(E43)/D41,"#,##0")&amp;" HRS IF NEEDED"),"-")</f>
        <v>ROOM FOR 527 HRS IF NEEDED</v>
      </c>
    </row>
    <row r="45" customFormat="false" ht="16.5" hidden="false" customHeight="true" outlineLevel="0" collapsed="false">
      <c r="A45" s="38" t="s">
        <v>95</v>
      </c>
      <c r="B45" s="38"/>
      <c r="C45" s="38"/>
      <c r="D45" s="38"/>
      <c r="E45" s="38"/>
      <c r="F45" s="38"/>
      <c r="G45" s="38"/>
      <c r="H45" s="38"/>
      <c r="I45" s="38"/>
    </row>
    <row r="46" customFormat="false" ht="15" hidden="false" customHeight="true" outlineLevel="0" collapsed="false">
      <c r="A46" s="14" t="s">
        <v>105</v>
      </c>
      <c r="B46" s="39" t="n">
        <v>163000</v>
      </c>
      <c r="C46" s="40" t="n">
        <v>0.1089</v>
      </c>
      <c r="D46" s="41" t="n">
        <v>25</v>
      </c>
      <c r="E46" s="28" t="n">
        <f aca="false">IFERROR(B46*C46,0)</f>
        <v>17750.7</v>
      </c>
      <c r="F46" s="42" t="n">
        <f aca="false">IFERROR(E46/D46,0)</f>
        <v>710.028</v>
      </c>
    </row>
    <row r="47" customFormat="false" ht="15" hidden="false" customHeight="true" outlineLevel="0" collapsed="false">
      <c r="A47" s="14" t="s">
        <v>106</v>
      </c>
      <c r="B47" s="39"/>
      <c r="C47" s="40"/>
      <c r="D47" s="41"/>
      <c r="E47" s="28" t="n">
        <f aca="false">IFERROR(B47*C47,0)</f>
        <v>0</v>
      </c>
      <c r="F47" s="42" t="n">
        <f aca="false">IFERROR(E47/D47,0)</f>
        <v>0</v>
      </c>
      <c r="G47" s="32" t="n">
        <f aca="false">IFERROR(E47/F47,0)</f>
        <v>0</v>
      </c>
    </row>
    <row r="48" customFormat="false" ht="15" hidden="false" customHeight="true" outlineLevel="0" collapsed="false">
      <c r="A48" s="18" t="s">
        <v>81</v>
      </c>
      <c r="B48" s="36" t="n">
        <f aca="false">IFERROR(B47-B46,0)</f>
        <v>-163000</v>
      </c>
      <c r="C48" s="37" t="n">
        <f aca="false">IFERROR(C47-C46,0)</f>
        <v>-0.1089</v>
      </c>
      <c r="D48" s="21"/>
      <c r="E48" s="36" t="n">
        <f aca="false">IFERROR(E47-E46,0)</f>
        <v>-17750.7</v>
      </c>
      <c r="F48" s="21"/>
      <c r="G48" s="21"/>
      <c r="H48" s="35" t="str">
        <f aca="false">IF(E48=0,"-",IF(C48&lt;=0,"GOOD!",IF(C48&lt;=0.01,"CAUTION!","BAD!")))</f>
        <v>GOOD!</v>
      </c>
      <c r="I48" s="35" t="str">
        <f aca="false">IFERROR(IF(E48&gt;0,"TRIM "&amp;TEXT(ABS(E48)/D46,"#,##0")&amp;" HRS TO HIT TARGET","ROOM FOR "&amp;TEXT(ABS(E48)/D46,"#,##0")&amp;" HRS IF NEEDED"),"-")</f>
        <v>ROOM FOR 710 HRS IF NEEDED</v>
      </c>
    </row>
    <row r="50" customFormat="false" ht="16.5" hidden="false" customHeight="true" outlineLevel="0" collapsed="false">
      <c r="A50" s="38" t="s">
        <v>96</v>
      </c>
      <c r="B50" s="38"/>
      <c r="C50" s="38"/>
      <c r="D50" s="38"/>
      <c r="E50" s="38"/>
      <c r="F50" s="38"/>
      <c r="G50" s="38"/>
      <c r="H50" s="38"/>
      <c r="I50" s="38"/>
    </row>
    <row r="51" customFormat="false" ht="15" hidden="false" customHeight="true" outlineLevel="0" collapsed="false">
      <c r="A51" s="14" t="s">
        <v>105</v>
      </c>
      <c r="B51" s="39" t="n">
        <v>131667</v>
      </c>
      <c r="C51" s="40" t="n">
        <v>0.1089</v>
      </c>
      <c r="D51" s="41" t="n">
        <v>25</v>
      </c>
      <c r="E51" s="28" t="n">
        <f aca="false">IFERROR(B51*C51,0)</f>
        <v>14338.5363</v>
      </c>
      <c r="F51" s="42" t="n">
        <f aca="false">IFERROR(E51/D51,0)</f>
        <v>573.541452</v>
      </c>
    </row>
    <row r="52" customFormat="false" ht="15" hidden="false" customHeight="true" outlineLevel="0" collapsed="false">
      <c r="A52" s="14" t="s">
        <v>106</v>
      </c>
      <c r="B52" s="39"/>
      <c r="C52" s="40"/>
      <c r="D52" s="41"/>
      <c r="E52" s="28" t="n">
        <f aca="false">IFERROR(B52*C52,0)</f>
        <v>0</v>
      </c>
      <c r="F52" s="42" t="n">
        <f aca="false">IFERROR(E52/D52,0)</f>
        <v>0</v>
      </c>
      <c r="G52" s="32" t="n">
        <f aca="false">IFERROR(E52/F52,0)</f>
        <v>0</v>
      </c>
    </row>
    <row r="53" customFormat="false" ht="15" hidden="false" customHeight="true" outlineLevel="0" collapsed="false">
      <c r="A53" s="18" t="s">
        <v>81</v>
      </c>
      <c r="B53" s="36" t="n">
        <f aca="false">IFERROR(B52-B51,0)</f>
        <v>-131667</v>
      </c>
      <c r="C53" s="37" t="n">
        <f aca="false">IFERROR(C52-C51,0)</f>
        <v>-0.1089</v>
      </c>
      <c r="D53" s="21"/>
      <c r="E53" s="36" t="n">
        <f aca="false">IFERROR(E52-E51,0)</f>
        <v>-14338.5363</v>
      </c>
      <c r="F53" s="21"/>
      <c r="G53" s="21"/>
      <c r="H53" s="35" t="str">
        <f aca="false">IF(E53=0,"-",IF(C53&lt;=0,"GOOD!",IF(C53&lt;=0.01,"CAUTION!","BAD!")))</f>
        <v>GOOD!</v>
      </c>
      <c r="I53" s="35" t="str">
        <f aca="false">IFERROR(IF(E53&gt;0,"TRIM "&amp;TEXT(ABS(E53)/D51,"#,##0")&amp;" HRS TO HIT TARGET","ROOM FOR "&amp;TEXT(ABS(E53)/D51,"#,##0")&amp;" HRS IF NEEDED"),"-")</f>
        <v>ROOM FOR 574 HRS IF NEEDED</v>
      </c>
    </row>
    <row r="55" customFormat="false" ht="16.5" hidden="false" customHeight="true" outlineLevel="0" collapsed="false">
      <c r="A55" s="38" t="s">
        <v>97</v>
      </c>
      <c r="B55" s="38"/>
      <c r="C55" s="38"/>
      <c r="D55" s="38"/>
      <c r="E55" s="38"/>
      <c r="F55" s="38"/>
      <c r="G55" s="38"/>
      <c r="H55" s="38"/>
      <c r="I55" s="38"/>
    </row>
    <row r="56" customFormat="false" ht="15" hidden="false" customHeight="true" outlineLevel="0" collapsed="false">
      <c r="A56" s="14" t="s">
        <v>105</v>
      </c>
      <c r="B56" s="39" t="n">
        <v>131667</v>
      </c>
      <c r="C56" s="40" t="n">
        <v>0.1089</v>
      </c>
      <c r="D56" s="41" t="n">
        <v>25</v>
      </c>
      <c r="E56" s="28" t="n">
        <f aca="false">IFERROR(B56*C56,0)</f>
        <v>14338.5363</v>
      </c>
      <c r="F56" s="42" t="n">
        <f aca="false">IFERROR(E56/D56,0)</f>
        <v>573.541452</v>
      </c>
    </row>
    <row r="57" customFormat="false" ht="15" hidden="false" customHeight="true" outlineLevel="0" collapsed="false">
      <c r="A57" s="14" t="s">
        <v>106</v>
      </c>
      <c r="B57" s="39"/>
      <c r="C57" s="40"/>
      <c r="D57" s="41"/>
      <c r="E57" s="28" t="n">
        <f aca="false">IFERROR(B57*C57,0)</f>
        <v>0</v>
      </c>
      <c r="F57" s="42" t="n">
        <f aca="false">IFERROR(E57/D57,0)</f>
        <v>0</v>
      </c>
      <c r="G57" s="32" t="n">
        <f aca="false">IFERROR(E57/F57,0)</f>
        <v>0</v>
      </c>
    </row>
    <row r="58" customFormat="false" ht="15" hidden="false" customHeight="true" outlineLevel="0" collapsed="false">
      <c r="A58" s="18" t="s">
        <v>81</v>
      </c>
      <c r="B58" s="36" t="n">
        <f aca="false">IFERROR(B57-B56,0)</f>
        <v>-131667</v>
      </c>
      <c r="C58" s="37" t="n">
        <f aca="false">IFERROR(C57-C56,0)</f>
        <v>-0.1089</v>
      </c>
      <c r="D58" s="21"/>
      <c r="E58" s="36" t="n">
        <f aca="false">IFERROR(E57-E56,0)</f>
        <v>-14338.5363</v>
      </c>
      <c r="F58" s="21"/>
      <c r="G58" s="21"/>
      <c r="H58" s="35" t="str">
        <f aca="false">IF(E58=0,"-",IF(C58&lt;=0,"GOOD!",IF(C58&lt;=0.01,"CAUTION!","BAD!")))</f>
        <v>GOOD!</v>
      </c>
      <c r="I58" s="35" t="str">
        <f aca="false">IFERROR(IF(E58&gt;0,"TRIM "&amp;TEXT(ABS(E58)/D56,"#,##0")&amp;" HRS TO HIT TARGET","ROOM FOR "&amp;TEXT(ABS(E58)/D56,"#,##0")&amp;" HRS IF NEEDED"),"-")</f>
        <v>ROOM FOR 574 HRS IF NEEDED</v>
      </c>
    </row>
    <row r="60" customFormat="false" ht="16.5" hidden="false" customHeight="true" outlineLevel="0" collapsed="false">
      <c r="A60" s="38" t="s">
        <v>98</v>
      </c>
      <c r="B60" s="38"/>
      <c r="C60" s="38"/>
      <c r="D60" s="38"/>
      <c r="E60" s="38"/>
      <c r="F60" s="38"/>
      <c r="G60" s="38"/>
      <c r="H60" s="38"/>
      <c r="I60" s="38"/>
    </row>
    <row r="61" customFormat="false" ht="15" hidden="false" customHeight="true" outlineLevel="0" collapsed="false">
      <c r="A61" s="14" t="s">
        <v>105</v>
      </c>
      <c r="B61" s="39" t="n">
        <v>7667</v>
      </c>
      <c r="C61" s="40" t="n">
        <v>0.1089</v>
      </c>
      <c r="D61" s="41" t="n">
        <v>25</v>
      </c>
      <c r="E61" s="28" t="n">
        <f aca="false">IFERROR(B61*C61,0)</f>
        <v>834.9363</v>
      </c>
      <c r="F61" s="42" t="n">
        <f aca="false">IFERROR(E61/D61,0)</f>
        <v>33.397452</v>
      </c>
    </row>
    <row r="62" customFormat="false" ht="15" hidden="false" customHeight="true" outlineLevel="0" collapsed="false">
      <c r="A62" s="14" t="s">
        <v>106</v>
      </c>
      <c r="B62" s="39"/>
      <c r="C62" s="40"/>
      <c r="D62" s="41"/>
      <c r="E62" s="28" t="n">
        <f aca="false">IFERROR(B62*C62,0)</f>
        <v>0</v>
      </c>
      <c r="F62" s="42" t="n">
        <f aca="false">IFERROR(E62/D62,0)</f>
        <v>0</v>
      </c>
      <c r="G62" s="32" t="n">
        <f aca="false">IFERROR(E62/F62,0)</f>
        <v>0</v>
      </c>
    </row>
    <row r="63" customFormat="false" ht="15" hidden="false" customHeight="true" outlineLevel="0" collapsed="false">
      <c r="A63" s="18" t="s">
        <v>81</v>
      </c>
      <c r="B63" s="36" t="n">
        <f aca="false">IFERROR(B62-B61,0)</f>
        <v>-7667</v>
      </c>
      <c r="C63" s="37" t="n">
        <f aca="false">IFERROR(C62-C61,0)</f>
        <v>-0.1089</v>
      </c>
      <c r="D63" s="21"/>
      <c r="E63" s="36" t="n">
        <f aca="false">IFERROR(E62-E61,0)</f>
        <v>-834.9363</v>
      </c>
      <c r="F63" s="21"/>
      <c r="G63" s="21"/>
      <c r="H63" s="35" t="str">
        <f aca="false">IF(E63=0,"-",IF(C63&lt;=0,"GOOD!",IF(C63&lt;=0.01,"CAUTION!","BAD!")))</f>
        <v>GOOD!</v>
      </c>
      <c r="I63" s="35" t="str">
        <f aca="false">IFERROR(IF(E63&gt;0,"TRIM "&amp;TEXT(ABS(E63)/D61,"#,##0")&amp;" HRS TO HIT TARGET","ROOM FOR "&amp;TEXT(ABS(E63)/D61,"#,##0")&amp;" HRS IF NEEDED"),"-")</f>
        <v>ROOM FOR 33 HRS IF NEEDED</v>
      </c>
    </row>
    <row r="65" customFormat="false" ht="16.5" hidden="false" customHeight="true" outlineLevel="0" collapsed="false">
      <c r="A65" s="38" t="s">
        <v>99</v>
      </c>
      <c r="B65" s="38"/>
      <c r="C65" s="38"/>
      <c r="D65" s="38"/>
      <c r="E65" s="38"/>
      <c r="F65" s="38"/>
      <c r="G65" s="38"/>
      <c r="H65" s="38"/>
      <c r="I65" s="38"/>
    </row>
    <row r="66" customFormat="false" ht="15" hidden="false" customHeight="true" outlineLevel="0" collapsed="false">
      <c r="A66" s="14" t="s">
        <v>105</v>
      </c>
      <c r="B66" s="39" t="n">
        <v>3100</v>
      </c>
      <c r="C66" s="40" t="n">
        <v>0.1089</v>
      </c>
      <c r="D66" s="41" t="n">
        <v>25</v>
      </c>
      <c r="E66" s="28" t="n">
        <f aca="false">IFERROR(B66*C66,0)</f>
        <v>337.59</v>
      </c>
      <c r="F66" s="42" t="n">
        <f aca="false">IFERROR(E66/D66,0)</f>
        <v>13.5036</v>
      </c>
    </row>
    <row r="67" customFormat="false" ht="15" hidden="false" customHeight="true" outlineLevel="0" collapsed="false">
      <c r="A67" s="14" t="s">
        <v>106</v>
      </c>
      <c r="B67" s="39"/>
      <c r="C67" s="40"/>
      <c r="D67" s="41"/>
      <c r="E67" s="28" t="n">
        <f aca="false">IFERROR(B67*C67,0)</f>
        <v>0</v>
      </c>
      <c r="F67" s="42" t="n">
        <f aca="false">IFERROR(E67/D67,0)</f>
        <v>0</v>
      </c>
      <c r="G67" s="32" t="n">
        <f aca="false">IFERROR(E67/F67,0)</f>
        <v>0</v>
      </c>
    </row>
    <row r="68" customFormat="false" ht="15" hidden="false" customHeight="true" outlineLevel="0" collapsed="false">
      <c r="A68" s="18" t="s">
        <v>81</v>
      </c>
      <c r="B68" s="36" t="n">
        <f aca="false">IFERROR(B67-B66,0)</f>
        <v>-3100</v>
      </c>
      <c r="C68" s="37" t="n">
        <f aca="false">IFERROR(C67-C66,0)</f>
        <v>-0.1089</v>
      </c>
      <c r="D68" s="21"/>
      <c r="E68" s="36" t="n">
        <f aca="false">IFERROR(E67-E66,0)</f>
        <v>-337.59</v>
      </c>
      <c r="F68" s="21"/>
      <c r="G68" s="21"/>
      <c r="H68" s="35" t="str">
        <f aca="false">IF(E68=0,"-",IF(C68&lt;=0,"GOOD!",IF(C68&lt;=0.01,"CAUTION!","BAD!")))</f>
        <v>GOOD!</v>
      </c>
      <c r="I68" s="35" t="str">
        <f aca="false">IFERROR(IF(E68&gt;0,"TRIM "&amp;TEXT(ABS(E68)/D66,"#,##0")&amp;" HRS TO HIT TARGET","ROOM FOR "&amp;TEXT(ABS(E68)/D66,"#,##0")&amp;" HRS IF NEEDED"),"-")</f>
        <v>ROOM FOR 14 HRS IF NEEDED</v>
      </c>
    </row>
    <row r="70" customFormat="false" ht="16.5" hidden="false" customHeight="true" outlineLevel="0" collapsed="false">
      <c r="A70" s="38" t="s">
        <v>100</v>
      </c>
      <c r="B70" s="38"/>
      <c r="C70" s="38"/>
      <c r="D70" s="38"/>
      <c r="E70" s="38"/>
      <c r="F70" s="38"/>
      <c r="G70" s="38"/>
      <c r="H70" s="38"/>
      <c r="I70" s="38"/>
    </row>
    <row r="71" customFormat="false" ht="15" hidden="false" customHeight="true" outlineLevel="0" collapsed="false">
      <c r="A71" s="14" t="s">
        <v>105</v>
      </c>
      <c r="B71" s="39" t="n">
        <v>69667</v>
      </c>
      <c r="C71" s="40" t="n">
        <v>0.1089</v>
      </c>
      <c r="D71" s="41" t="n">
        <v>25</v>
      </c>
      <c r="E71" s="28" t="n">
        <f aca="false">IFERROR(B71*C71,0)</f>
        <v>7586.7363</v>
      </c>
      <c r="F71" s="42" t="n">
        <f aca="false">IFERROR(E71/D71,0)</f>
        <v>303.469452</v>
      </c>
    </row>
    <row r="72" customFormat="false" ht="15" hidden="false" customHeight="true" outlineLevel="0" collapsed="false">
      <c r="A72" s="14" t="s">
        <v>106</v>
      </c>
      <c r="B72" s="39"/>
      <c r="C72" s="40"/>
      <c r="D72" s="41"/>
      <c r="E72" s="28" t="n">
        <f aca="false">IFERROR(B72*C72,0)</f>
        <v>0</v>
      </c>
      <c r="F72" s="42" t="n">
        <f aca="false">IFERROR(E72/D72,0)</f>
        <v>0</v>
      </c>
      <c r="G72" s="32" t="n">
        <f aca="false">IFERROR(E72/F72,0)</f>
        <v>0</v>
      </c>
    </row>
    <row r="73" customFormat="false" ht="15" hidden="false" customHeight="true" outlineLevel="0" collapsed="false">
      <c r="A73" s="18" t="s">
        <v>81</v>
      </c>
      <c r="B73" s="36" t="n">
        <f aca="false">IFERROR(B72-B71,0)</f>
        <v>-69667</v>
      </c>
      <c r="C73" s="37" t="n">
        <f aca="false">IFERROR(C72-C71,0)</f>
        <v>-0.1089</v>
      </c>
      <c r="D73" s="21"/>
      <c r="E73" s="36" t="n">
        <f aca="false">IFERROR(E72-E71,0)</f>
        <v>-7586.7363</v>
      </c>
      <c r="F73" s="21"/>
      <c r="G73" s="21"/>
      <c r="H73" s="35" t="str">
        <f aca="false">IF(E73=0,"-",IF(C73&lt;=0,"GOOD!",IF(C73&lt;=0.01,"CAUTION!","BAD!")))</f>
        <v>GOOD!</v>
      </c>
      <c r="I73" s="35" t="str">
        <f aca="false">IFERROR(IF(E73&gt;0,"TRIM "&amp;TEXT(ABS(E73)/D71,"#,##0")&amp;" HRS TO HIT TARGET","ROOM FOR "&amp;TEXT(ABS(E73)/D71,"#,##0")&amp;" HRS IF NEEDED"),"-")</f>
        <v>ROOM FOR 303 HRS IF NEEDED</v>
      </c>
    </row>
    <row r="75" customFormat="false" ht="16.5" hidden="false" customHeight="true" outlineLevel="0" collapsed="false">
      <c r="A75" s="38" t="s">
        <v>119</v>
      </c>
      <c r="B75" s="38"/>
      <c r="C75" s="38"/>
      <c r="D75" s="38"/>
      <c r="E75" s="38"/>
      <c r="F75" s="38"/>
      <c r="G75" s="38"/>
      <c r="H75" s="38"/>
      <c r="I75" s="38"/>
    </row>
    <row r="76" customFormat="false" ht="15" hidden="false" customHeight="true" outlineLevel="0" collapsed="false">
      <c r="A76" s="14" t="s">
        <v>105</v>
      </c>
      <c r="C76" s="40" t="n">
        <v>0.02</v>
      </c>
      <c r="D76" s="41" t="n">
        <v>25</v>
      </c>
      <c r="E76" s="28" t="n">
        <f aca="false">IFERROR(C76*B82,0)</f>
        <v>30948.7</v>
      </c>
      <c r="F76" s="42" t="n">
        <f aca="false">IFERROR(E76/D76,0)</f>
        <v>1237.948</v>
      </c>
    </row>
    <row r="77" customFormat="false" ht="15" hidden="false" customHeight="true" outlineLevel="0" collapsed="false">
      <c r="A77" s="14" t="s">
        <v>106</v>
      </c>
      <c r="C77" s="40"/>
      <c r="D77" s="41"/>
      <c r="E77" s="28" t="n">
        <f aca="false">IFERROR(C77*B83,0)</f>
        <v>0</v>
      </c>
      <c r="F77" s="42" t="n">
        <f aca="false">IFERROR(E77/D77,0)</f>
        <v>0</v>
      </c>
      <c r="G77" s="32" t="n">
        <f aca="false">IFERROR(E77/F77,0)</f>
        <v>0</v>
      </c>
    </row>
    <row r="78" customFormat="false" ht="15" hidden="false" customHeight="true" outlineLevel="0" collapsed="false">
      <c r="A78" s="18" t="s">
        <v>81</v>
      </c>
      <c r="B78" s="21"/>
      <c r="C78" s="37" t="n">
        <f aca="false">IFERROR(C77-C76,0)</f>
        <v>-0.02</v>
      </c>
      <c r="D78" s="21"/>
      <c r="E78" s="36" t="n">
        <f aca="false">IFERROR(E77-E76,0)</f>
        <v>-30948.7</v>
      </c>
      <c r="F78" s="21"/>
      <c r="G78" s="21"/>
      <c r="H78" s="35" t="str">
        <f aca="false">IF(E78=0,"-",IF(C78&lt;=0,"GOOD!",IF(C78&lt;=0.01,"CAUTION!","BAD!")))</f>
        <v>GOOD!</v>
      </c>
      <c r="I78" s="35" t="str">
        <f aca="false">IFERROR(IF(E78&gt;0,"TRIM "&amp;TEXT(ABS(E78)/D76,"#,##0")&amp;" HRS TO HIT TARGET","ROOM FOR "&amp;TEXT(ABS(E78)/D76,"#,##0")&amp;" HRS IF NEEDED"),"-")</f>
        <v>ROOM FOR 1,238 HRS IF NEEDED</v>
      </c>
    </row>
    <row r="81" customFormat="false" ht="19.5" hidden="false" customHeight="true" outlineLevel="0" collapsed="false">
      <c r="A81" s="43" t="s">
        <v>102</v>
      </c>
      <c r="B81" s="43"/>
      <c r="C81" s="43"/>
      <c r="D81" s="43"/>
      <c r="E81" s="43"/>
      <c r="F81" s="43"/>
      <c r="G81" s="43"/>
      <c r="H81" s="43"/>
      <c r="I81" s="43"/>
    </row>
    <row r="82" customFormat="false" ht="15" hidden="false" customHeight="true" outlineLevel="0" collapsed="false">
      <c r="A82" s="12" t="s">
        <v>105</v>
      </c>
      <c r="B82" s="28" t="n">
        <f aca="false">B31+B36+B41+B46+B51+B56+B61+B66+B71</f>
        <v>1547435</v>
      </c>
      <c r="C82" s="30" t="n">
        <f aca="false">IFERROR(E82/B82,0)</f>
        <v>0.1289</v>
      </c>
      <c r="E82" s="28" t="n">
        <f aca="false">E31+E36+E41+E46+E51+E56+E61+E66+E71+E76</f>
        <v>199464.3715</v>
      </c>
      <c r="F82" s="42" t="n">
        <f aca="false">F31+F36+F41+F46+F51+F56+F61+F66+F71+F76</f>
        <v>7978.57486</v>
      </c>
    </row>
    <row r="83" customFormat="false" ht="15" hidden="false" customHeight="true" outlineLevel="0" collapsed="false">
      <c r="A83" s="12" t="s">
        <v>106</v>
      </c>
      <c r="B83" s="28" t="n">
        <f aca="false">B32+B37+B42+B47+B52+B57+B62+B67+B72</f>
        <v>0</v>
      </c>
      <c r="C83" s="30" t="n">
        <f aca="false">IFERROR(E83/B83,0)</f>
        <v>0</v>
      </c>
      <c r="E83" s="28" t="n">
        <f aca="false">E32+E37+E42+E47+E52+E57+E62+E67+E72+E77</f>
        <v>0</v>
      </c>
      <c r="F83" s="42" t="n">
        <f aca="false">F32+F37+F42+F47+F52+F57+F62+F67+F72+F77</f>
        <v>0</v>
      </c>
      <c r="G83" s="32" t="n">
        <f aca="false">IFERROR(E83/F83,0)</f>
        <v>0</v>
      </c>
    </row>
    <row r="84" customFormat="false" ht="15" hidden="false" customHeight="true" outlineLevel="0" collapsed="false">
      <c r="A84" s="26" t="s">
        <v>81</v>
      </c>
      <c r="B84" s="36" t="n">
        <f aca="false">IFERROR(B83-B82,0)</f>
        <v>-1547435</v>
      </c>
      <c r="C84" s="37" t="n">
        <f aca="false">IFERROR(C83-C82,0)</f>
        <v>-0.1289</v>
      </c>
      <c r="D84" s="21"/>
      <c r="E84" s="36" t="n">
        <f aca="false">IFERROR(E83-E82,0)</f>
        <v>-199464.3715</v>
      </c>
      <c r="F84" s="21"/>
      <c r="G84" s="21"/>
      <c r="H84" s="35" t="str">
        <f aca="false">IF(E84=0,"-",IF(C84&lt;=0,"GOOD!",IF(C84&lt;=0.01,"CAUTION!","BAD!")))</f>
        <v>GOOD!</v>
      </c>
      <c r="I84" s="35" t="str">
        <f aca="false">IFERROR(IF(E84&gt;0,"TRIM "&amp;TEXT(ABS(E84)/IFERROR(E82/F82,25),"#,##0")&amp;" HRS TO HIT TARGET","ROOM FOR "&amp;TEXT(ABS(E84)/IFERROR(E82/F82,25),"#,##0")&amp;" HRS IF NEEDED"),"-")</f>
        <v>ROOM FOR 7,979 HRS IF NEEDED</v>
      </c>
    </row>
  </sheetData>
  <mergeCells count="15">
    <mergeCell ref="A1:I1"/>
    <mergeCell ref="A3:I3"/>
    <mergeCell ref="A12:I12"/>
    <mergeCell ref="A28:I28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1:I81"/>
  </mergeCells>
  <conditionalFormatting sqref="G14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G15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G16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G17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G18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G19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G20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G21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G22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G23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G24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conditionalFormatting sqref="G25">
    <cfRule type="cellIs" priority="35" operator="equal" aboveAverage="0" equalAverage="0" bottom="0" percent="0" rank="0" text="" dxfId="0">
      <formula>"GOOD!"</formula>
    </cfRule>
    <cfRule type="cellIs" priority="36" operator="equal" aboveAverage="0" equalAverage="0" bottom="0" percent="0" rank="0" text="" dxfId="1">
      <formula>"CAUTION!"</formula>
    </cfRule>
    <cfRule type="cellIs" priority="37" operator="equal" aboveAverage="0" equalAverage="0" bottom="0" percent="0" rank="0" text="" dxfId="2">
      <formula>"BAD!"</formula>
    </cfRule>
  </conditionalFormatting>
  <conditionalFormatting sqref="H33">
    <cfRule type="cellIs" priority="38" operator="equal" aboveAverage="0" equalAverage="0" bottom="0" percent="0" rank="0" text="" dxfId="0">
      <formula>"GOOD!"</formula>
    </cfRule>
    <cfRule type="cellIs" priority="39" operator="equal" aboveAverage="0" equalAverage="0" bottom="0" percent="0" rank="0" text="" dxfId="1">
      <formula>"CAUTION!"</formula>
    </cfRule>
    <cfRule type="cellIs" priority="40" operator="equal" aboveAverage="0" equalAverage="0" bottom="0" percent="0" rank="0" text="" dxfId="2">
      <formula>"BAD!"</formula>
    </cfRule>
  </conditionalFormatting>
  <conditionalFormatting sqref="H38">
    <cfRule type="cellIs" priority="41" operator="equal" aboveAverage="0" equalAverage="0" bottom="0" percent="0" rank="0" text="" dxfId="0">
      <formula>"GOOD!"</formula>
    </cfRule>
    <cfRule type="cellIs" priority="42" operator="equal" aboveAverage="0" equalAverage="0" bottom="0" percent="0" rank="0" text="" dxfId="1">
      <formula>"CAUTION!"</formula>
    </cfRule>
    <cfRule type="cellIs" priority="43" operator="equal" aboveAverage="0" equalAverage="0" bottom="0" percent="0" rank="0" text="" dxfId="2">
      <formula>"BAD!"</formula>
    </cfRule>
  </conditionalFormatting>
  <conditionalFormatting sqref="H43">
    <cfRule type="cellIs" priority="44" operator="equal" aboveAverage="0" equalAverage="0" bottom="0" percent="0" rank="0" text="" dxfId="0">
      <formula>"GOOD!"</formula>
    </cfRule>
    <cfRule type="cellIs" priority="45" operator="equal" aboveAverage="0" equalAverage="0" bottom="0" percent="0" rank="0" text="" dxfId="1">
      <formula>"CAUTION!"</formula>
    </cfRule>
    <cfRule type="cellIs" priority="46" operator="equal" aboveAverage="0" equalAverage="0" bottom="0" percent="0" rank="0" text="" dxfId="2">
      <formula>"BAD!"</formula>
    </cfRule>
  </conditionalFormatting>
  <conditionalFormatting sqref="H48">
    <cfRule type="cellIs" priority="47" operator="equal" aboveAverage="0" equalAverage="0" bottom="0" percent="0" rank="0" text="" dxfId="0">
      <formula>"GOOD!"</formula>
    </cfRule>
    <cfRule type="cellIs" priority="48" operator="equal" aboveAverage="0" equalAverage="0" bottom="0" percent="0" rank="0" text="" dxfId="1">
      <formula>"CAUTION!"</formula>
    </cfRule>
    <cfRule type="cellIs" priority="49" operator="equal" aboveAverage="0" equalAverage="0" bottom="0" percent="0" rank="0" text="" dxfId="2">
      <formula>"BAD!"</formula>
    </cfRule>
  </conditionalFormatting>
  <conditionalFormatting sqref="H53">
    <cfRule type="cellIs" priority="50" operator="equal" aboveAverage="0" equalAverage="0" bottom="0" percent="0" rank="0" text="" dxfId="0">
      <formula>"GOOD!"</formula>
    </cfRule>
    <cfRule type="cellIs" priority="51" operator="equal" aboveAverage="0" equalAverage="0" bottom="0" percent="0" rank="0" text="" dxfId="1">
      <formula>"CAUTION!"</formula>
    </cfRule>
    <cfRule type="cellIs" priority="52" operator="equal" aboveAverage="0" equalAverage="0" bottom="0" percent="0" rank="0" text="" dxfId="2">
      <formula>"BAD!"</formula>
    </cfRule>
  </conditionalFormatting>
  <conditionalFormatting sqref="H58">
    <cfRule type="cellIs" priority="53" operator="equal" aboveAverage="0" equalAverage="0" bottom="0" percent="0" rank="0" text="" dxfId="0">
      <formula>"GOOD!"</formula>
    </cfRule>
    <cfRule type="cellIs" priority="54" operator="equal" aboveAverage="0" equalAverage="0" bottom="0" percent="0" rank="0" text="" dxfId="1">
      <formula>"CAUTION!"</formula>
    </cfRule>
    <cfRule type="cellIs" priority="55" operator="equal" aboveAverage="0" equalAverage="0" bottom="0" percent="0" rank="0" text="" dxfId="2">
      <formula>"BAD!"</formula>
    </cfRule>
  </conditionalFormatting>
  <conditionalFormatting sqref="H63">
    <cfRule type="cellIs" priority="56" operator="equal" aboveAverage="0" equalAverage="0" bottom="0" percent="0" rank="0" text="" dxfId="0">
      <formula>"GOOD!"</formula>
    </cfRule>
    <cfRule type="cellIs" priority="57" operator="equal" aboveAverage="0" equalAverage="0" bottom="0" percent="0" rank="0" text="" dxfId="1">
      <formula>"CAUTION!"</formula>
    </cfRule>
    <cfRule type="cellIs" priority="58" operator="equal" aboveAverage="0" equalAverage="0" bottom="0" percent="0" rank="0" text="" dxfId="2">
      <formula>"BAD!"</formula>
    </cfRule>
  </conditionalFormatting>
  <conditionalFormatting sqref="H68">
    <cfRule type="cellIs" priority="59" operator="equal" aboveAverage="0" equalAverage="0" bottom="0" percent="0" rank="0" text="" dxfId="0">
      <formula>"GOOD!"</formula>
    </cfRule>
    <cfRule type="cellIs" priority="60" operator="equal" aboveAverage="0" equalAverage="0" bottom="0" percent="0" rank="0" text="" dxfId="1">
      <formula>"CAUTION!"</formula>
    </cfRule>
    <cfRule type="cellIs" priority="61" operator="equal" aboveAverage="0" equalAverage="0" bottom="0" percent="0" rank="0" text="" dxfId="2">
      <formula>"BAD!"</formula>
    </cfRule>
  </conditionalFormatting>
  <conditionalFormatting sqref="H73">
    <cfRule type="cellIs" priority="62" operator="equal" aboveAverage="0" equalAverage="0" bottom="0" percent="0" rank="0" text="" dxfId="0">
      <formula>"GOOD!"</formula>
    </cfRule>
    <cfRule type="cellIs" priority="63" operator="equal" aboveAverage="0" equalAverage="0" bottom="0" percent="0" rank="0" text="" dxfId="1">
      <formula>"CAUTION!"</formula>
    </cfRule>
    <cfRule type="cellIs" priority="64" operator="equal" aboveAverage="0" equalAverage="0" bottom="0" percent="0" rank="0" text="" dxfId="2">
      <formula>"BAD!"</formula>
    </cfRule>
  </conditionalFormatting>
  <conditionalFormatting sqref="H78">
    <cfRule type="cellIs" priority="65" operator="equal" aboveAverage="0" equalAverage="0" bottom="0" percent="0" rank="0" text="" dxfId="0">
      <formula>"GOOD!"</formula>
    </cfRule>
    <cfRule type="cellIs" priority="66" operator="equal" aboveAverage="0" equalAverage="0" bottom="0" percent="0" rank="0" text="" dxfId="1">
      <formula>"CAUTION!"</formula>
    </cfRule>
    <cfRule type="cellIs" priority="67" operator="equal" aboveAverage="0" equalAverage="0" bottom="0" percent="0" rank="0" text="" dxfId="2">
      <formula>"BAD!"</formula>
    </cfRule>
  </conditionalFormatting>
  <conditionalFormatting sqref="H84">
    <cfRule type="cellIs" priority="68" operator="equal" aboveAverage="0" equalAverage="0" bottom="0" percent="0" rank="0" text="" dxfId="0">
      <formula>"GOOD!"</formula>
    </cfRule>
    <cfRule type="cellIs" priority="69" operator="equal" aboveAverage="0" equalAverage="0" bottom="0" percent="0" rank="0" text="" dxfId="1">
      <formula>"CAUTION!"</formula>
    </cfRule>
    <cfRule type="cellIs" priority="70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21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104</v>
      </c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2"/>
      <c r="B4" s="13" t="s">
        <v>105</v>
      </c>
      <c r="C4" s="13" t="s">
        <v>106</v>
      </c>
      <c r="D4" s="13" t="s">
        <v>81</v>
      </c>
      <c r="E4" s="13" t="s">
        <v>82</v>
      </c>
      <c r="F4" s="27"/>
      <c r="G4" s="27"/>
      <c r="H4" s="27"/>
      <c r="I4" s="27"/>
    </row>
    <row r="5" customFormat="false" ht="15" hidden="false" customHeight="false" outlineLevel="0" collapsed="false">
      <c r="A5" s="14" t="s">
        <v>83</v>
      </c>
      <c r="B5" s="28" t="n">
        <f aca="false">B82</f>
        <v>1547435</v>
      </c>
      <c r="C5" s="28" t="n">
        <f aca="false">B83</f>
        <v>0</v>
      </c>
      <c r="D5" s="28" t="n">
        <f aca="false">IFERROR(B83-B82,0)</f>
        <v>-1547435</v>
      </c>
      <c r="E5" s="29" t="str">
        <f aca="false">IF(B83&gt;=B82,"GOOD!","BELOW PLAN")</f>
        <v>BELOW PLAN</v>
      </c>
    </row>
    <row r="6" customFormat="false" ht="15" hidden="false" customHeight="false" outlineLevel="0" collapsed="false">
      <c r="A6" s="5" t="s">
        <v>84</v>
      </c>
      <c r="B6" s="28" t="n">
        <f aca="false">E82</f>
        <v>199464.3715</v>
      </c>
      <c r="C6" s="28" t="n">
        <f aca="false">E83</f>
        <v>0</v>
      </c>
      <c r="D6" s="28" t="n">
        <f aca="false">IFERROR(E83-E82,0)</f>
        <v>-199464.3715</v>
      </c>
      <c r="E6" s="29" t="str">
        <f aca="false">H84</f>
        <v>GOOD!</v>
      </c>
    </row>
    <row r="7" customFormat="false" ht="15" hidden="false" customHeight="false" outlineLevel="0" collapsed="false">
      <c r="A7" s="14" t="s">
        <v>28</v>
      </c>
      <c r="B7" s="30" t="n">
        <f aca="false">C82</f>
        <v>0.1289</v>
      </c>
      <c r="C7" s="30" t="n">
        <f aca="false">C83</f>
        <v>0</v>
      </c>
      <c r="D7" s="31" t="n">
        <f aca="false">IFERROR(C83-C82,0)</f>
        <v>-0.1289</v>
      </c>
      <c r="E7" s="29" t="str">
        <f aca="false">H84</f>
        <v>GOOD!</v>
      </c>
    </row>
    <row r="8" customFormat="false" ht="15" hidden="false" customHeight="false" outlineLevel="0" collapsed="false">
      <c r="A8" s="5" t="s">
        <v>59</v>
      </c>
      <c r="B8" s="29" t="s">
        <v>85</v>
      </c>
      <c r="C8" s="32" t="n">
        <f aca="false">G83</f>
        <v>0</v>
      </c>
      <c r="D8" s="29" t="s">
        <v>85</v>
      </c>
    </row>
    <row r="9" customFormat="false" ht="15" hidden="false" customHeight="false" outlineLevel="0" collapsed="false">
      <c r="A9" s="18" t="s">
        <v>107</v>
      </c>
      <c r="B9" s="33" t="n">
        <f aca="false">F82</f>
        <v>7978.57486</v>
      </c>
      <c r="C9" s="33" t="n">
        <f aca="false">F83</f>
        <v>0</v>
      </c>
      <c r="D9" s="34" t="n">
        <f aca="false">IFERROR(F83-F82,0)</f>
        <v>-7978.57486</v>
      </c>
      <c r="E9" s="35" t="str">
        <f aca="false">H84</f>
        <v>GOOD!</v>
      </c>
      <c r="F9" s="21"/>
      <c r="G9" s="21"/>
      <c r="H9" s="21"/>
      <c r="I9" s="21"/>
    </row>
    <row r="12" customFormat="false" ht="15" hidden="false" customHeight="false" outlineLevel="0" collapsed="false">
      <c r="A12" s="11" t="s">
        <v>108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87</v>
      </c>
      <c r="B13" s="13" t="s">
        <v>109</v>
      </c>
      <c r="C13" s="13" t="s">
        <v>110</v>
      </c>
      <c r="D13" s="13" t="s">
        <v>90</v>
      </c>
      <c r="E13" s="13" t="s">
        <v>111</v>
      </c>
      <c r="F13" s="13" t="s">
        <v>112</v>
      </c>
      <c r="G13" s="13" t="s">
        <v>82</v>
      </c>
      <c r="H13" s="13" t="s">
        <v>113</v>
      </c>
    </row>
    <row r="14" customFormat="false" ht="15" hidden="false" customHeight="false" outlineLevel="0" collapsed="false">
      <c r="A14" s="14" t="s">
        <v>92</v>
      </c>
      <c r="B14" s="28" t="n">
        <f aca="false">E31</f>
        <v>82401.0363</v>
      </c>
      <c r="C14" s="28" t="n">
        <f aca="false">E32</f>
        <v>0</v>
      </c>
      <c r="D14" s="31" t="n">
        <f aca="false">C32</f>
        <v>0</v>
      </c>
      <c r="E14" s="28" t="n">
        <f aca="false">E33</f>
        <v>-82401.0363</v>
      </c>
      <c r="F14" s="31" t="n">
        <f aca="false">C33</f>
        <v>-0.1089</v>
      </c>
      <c r="G14" s="29" t="str">
        <f aca="false">H33</f>
        <v>GOOD!</v>
      </c>
      <c r="H14" s="29" t="str">
        <f aca="false">I33</f>
        <v>ROOM FOR 3,296 HRS IF NEEDED</v>
      </c>
    </row>
    <row r="15" customFormat="false" ht="15" hidden="false" customHeight="false" outlineLevel="0" collapsed="false">
      <c r="A15" s="5" t="s">
        <v>93</v>
      </c>
      <c r="B15" s="28" t="n">
        <f aca="false">E36</f>
        <v>17750.7</v>
      </c>
      <c r="C15" s="28" t="n">
        <f aca="false">E37</f>
        <v>0</v>
      </c>
      <c r="D15" s="31" t="n">
        <f aca="false">C37</f>
        <v>0</v>
      </c>
      <c r="E15" s="28" t="n">
        <f aca="false">E38</f>
        <v>-17750.7</v>
      </c>
      <c r="F15" s="31" t="n">
        <f aca="false">C38</f>
        <v>-0.1089</v>
      </c>
      <c r="G15" s="29" t="str">
        <f aca="false">H38</f>
        <v>GOOD!</v>
      </c>
      <c r="H15" s="29" t="str">
        <f aca="false">I38</f>
        <v>ROOM FOR 710 HRS IF NEEDED</v>
      </c>
    </row>
    <row r="16" customFormat="false" ht="15" hidden="false" customHeight="false" outlineLevel="0" collapsed="false">
      <c r="A16" s="14" t="s">
        <v>94</v>
      </c>
      <c r="B16" s="28" t="n">
        <f aca="false">E41</f>
        <v>13176.9</v>
      </c>
      <c r="C16" s="28" t="n">
        <f aca="false">E42</f>
        <v>0</v>
      </c>
      <c r="D16" s="31" t="n">
        <f aca="false">C42</f>
        <v>0</v>
      </c>
      <c r="E16" s="28" t="n">
        <f aca="false">E43</f>
        <v>-13176.9</v>
      </c>
      <c r="F16" s="31" t="n">
        <f aca="false">C43</f>
        <v>-0.1089</v>
      </c>
      <c r="G16" s="29" t="str">
        <f aca="false">H43</f>
        <v>GOOD!</v>
      </c>
      <c r="H16" s="29" t="str">
        <f aca="false">I43</f>
        <v>ROOM FOR 527 HRS IF NEEDED</v>
      </c>
    </row>
    <row r="17" customFormat="false" ht="15" hidden="false" customHeight="false" outlineLevel="0" collapsed="false">
      <c r="A17" s="5" t="s">
        <v>95</v>
      </c>
      <c r="B17" s="28" t="n">
        <f aca="false">E46</f>
        <v>17750.7</v>
      </c>
      <c r="C17" s="28" t="n">
        <f aca="false">E47</f>
        <v>0</v>
      </c>
      <c r="D17" s="31" t="n">
        <f aca="false">C47</f>
        <v>0</v>
      </c>
      <c r="E17" s="28" t="n">
        <f aca="false">E48</f>
        <v>-17750.7</v>
      </c>
      <c r="F17" s="31" t="n">
        <f aca="false">C48</f>
        <v>-0.1089</v>
      </c>
      <c r="G17" s="29" t="str">
        <f aca="false">H48</f>
        <v>GOOD!</v>
      </c>
      <c r="H17" s="29" t="str">
        <f aca="false">I48</f>
        <v>ROOM FOR 710 HRS IF NEEDED</v>
      </c>
    </row>
    <row r="18" customFormat="false" ht="15" hidden="false" customHeight="false" outlineLevel="0" collapsed="false">
      <c r="A18" s="14" t="s">
        <v>96</v>
      </c>
      <c r="B18" s="28" t="n">
        <f aca="false">E51</f>
        <v>14338.5363</v>
      </c>
      <c r="C18" s="28" t="n">
        <f aca="false">E52</f>
        <v>0</v>
      </c>
      <c r="D18" s="31" t="n">
        <f aca="false">C52</f>
        <v>0</v>
      </c>
      <c r="E18" s="28" t="n">
        <f aca="false">E53</f>
        <v>-14338.5363</v>
      </c>
      <c r="F18" s="31" t="n">
        <f aca="false">C53</f>
        <v>-0.1089</v>
      </c>
      <c r="G18" s="29" t="str">
        <f aca="false">H53</f>
        <v>GOOD!</v>
      </c>
      <c r="H18" s="29" t="str">
        <f aca="false">I53</f>
        <v>ROOM FOR 574 HRS IF NEEDED</v>
      </c>
    </row>
    <row r="19" customFormat="false" ht="15" hidden="false" customHeight="false" outlineLevel="0" collapsed="false">
      <c r="A19" s="5" t="s">
        <v>97</v>
      </c>
      <c r="B19" s="28" t="n">
        <f aca="false">E56</f>
        <v>14338.5363</v>
      </c>
      <c r="C19" s="28" t="n">
        <f aca="false">E57</f>
        <v>0</v>
      </c>
      <c r="D19" s="31" t="n">
        <f aca="false">C57</f>
        <v>0</v>
      </c>
      <c r="E19" s="28" t="n">
        <f aca="false">E58</f>
        <v>-14338.5363</v>
      </c>
      <c r="F19" s="31" t="n">
        <f aca="false">C58</f>
        <v>-0.1089</v>
      </c>
      <c r="G19" s="29" t="str">
        <f aca="false">H58</f>
        <v>GOOD!</v>
      </c>
      <c r="H19" s="29" t="str">
        <f aca="false">I58</f>
        <v>ROOM FOR 574 HRS IF NEEDED</v>
      </c>
    </row>
    <row r="20" customFormat="false" ht="15" hidden="false" customHeight="false" outlineLevel="0" collapsed="false">
      <c r="A20" s="14" t="s">
        <v>98</v>
      </c>
      <c r="B20" s="28" t="n">
        <f aca="false">E61</f>
        <v>834.9363</v>
      </c>
      <c r="C20" s="28" t="n">
        <f aca="false">E62</f>
        <v>0</v>
      </c>
      <c r="D20" s="31" t="n">
        <f aca="false">C62</f>
        <v>0</v>
      </c>
      <c r="E20" s="28" t="n">
        <f aca="false">E63</f>
        <v>-834.9363</v>
      </c>
      <c r="F20" s="31" t="n">
        <f aca="false">C63</f>
        <v>-0.1089</v>
      </c>
      <c r="G20" s="29" t="str">
        <f aca="false">H63</f>
        <v>GOOD!</v>
      </c>
      <c r="H20" s="29" t="str">
        <f aca="false">I63</f>
        <v>ROOM FOR 33 HRS IF NEEDED</v>
      </c>
    </row>
    <row r="21" customFormat="false" ht="15" hidden="false" customHeight="false" outlineLevel="0" collapsed="false">
      <c r="A21" s="5" t="s">
        <v>99</v>
      </c>
      <c r="B21" s="28" t="n">
        <f aca="false">E66</f>
        <v>337.59</v>
      </c>
      <c r="C21" s="28" t="n">
        <f aca="false">E67</f>
        <v>0</v>
      </c>
      <c r="D21" s="31" t="n">
        <f aca="false">C67</f>
        <v>0</v>
      </c>
      <c r="E21" s="28" t="n">
        <f aca="false">E68</f>
        <v>-337.59</v>
      </c>
      <c r="F21" s="31" t="n">
        <f aca="false">C68</f>
        <v>-0.1089</v>
      </c>
      <c r="G21" s="29" t="str">
        <f aca="false">H68</f>
        <v>GOOD!</v>
      </c>
      <c r="H21" s="29" t="str">
        <f aca="false">I68</f>
        <v>ROOM FOR 14 HRS IF NEEDED</v>
      </c>
    </row>
    <row r="22" customFormat="false" ht="15" hidden="false" customHeight="false" outlineLevel="0" collapsed="false">
      <c r="A22" s="14" t="s">
        <v>100</v>
      </c>
      <c r="B22" s="28" t="n">
        <f aca="false">E71</f>
        <v>7586.7363</v>
      </c>
      <c r="C22" s="28" t="n">
        <f aca="false">E72</f>
        <v>0</v>
      </c>
      <c r="D22" s="31" t="n">
        <f aca="false">C72</f>
        <v>0</v>
      </c>
      <c r="E22" s="28" t="n">
        <f aca="false">E73</f>
        <v>-7586.7363</v>
      </c>
      <c r="F22" s="31" t="n">
        <f aca="false">C73</f>
        <v>-0.1089</v>
      </c>
      <c r="G22" s="29" t="str">
        <f aca="false">H73</f>
        <v>GOOD!</v>
      </c>
      <c r="H22" s="29" t="str">
        <f aca="false">I73</f>
        <v>ROOM FOR 303 HRS IF NEEDED</v>
      </c>
    </row>
    <row r="23" customFormat="false" ht="15" hidden="false" customHeight="false" outlineLevel="0" collapsed="false">
      <c r="A23" s="23" t="s">
        <v>101</v>
      </c>
      <c r="B23" s="36" t="n">
        <f aca="false">E76</f>
        <v>30948.7</v>
      </c>
      <c r="C23" s="36" t="n">
        <f aca="false">E77</f>
        <v>0</v>
      </c>
      <c r="D23" s="37" t="n">
        <f aca="false">C77</f>
        <v>0</v>
      </c>
      <c r="E23" s="36" t="n">
        <f aca="false">E78</f>
        <v>-30948.7</v>
      </c>
      <c r="F23" s="37" t="n">
        <f aca="false">C78</f>
        <v>-0.02</v>
      </c>
      <c r="G23" s="35" t="str">
        <f aca="false">H78</f>
        <v>GOOD!</v>
      </c>
      <c r="H23" s="35" t="str">
        <f aca="false">I78</f>
        <v>ROOM FOR 1,238 HRS IF NEEDED</v>
      </c>
      <c r="I23" s="21"/>
    </row>
    <row r="24" customFormat="false" ht="15" hidden="false" customHeight="false" outlineLevel="0" collapsed="false">
      <c r="A24" s="26" t="s">
        <v>102</v>
      </c>
      <c r="B24" s="36" t="n">
        <f aca="false">E82</f>
        <v>199464.3715</v>
      </c>
      <c r="C24" s="36" t="n">
        <f aca="false">E83</f>
        <v>0</v>
      </c>
      <c r="D24" s="37" t="n">
        <f aca="false">C83</f>
        <v>0</v>
      </c>
      <c r="E24" s="36" t="n">
        <f aca="false">E84</f>
        <v>-199464.3715</v>
      </c>
      <c r="F24" s="37" t="n">
        <f aca="false">C84</f>
        <v>-0.1289</v>
      </c>
      <c r="G24" s="35" t="str">
        <f aca="false">H84</f>
        <v>GOOD!</v>
      </c>
      <c r="H24" s="35" t="str">
        <f aca="false">I84</f>
        <v>ROOM FOR 7,979 HRS IF NEEDED</v>
      </c>
      <c r="I24" s="21"/>
    </row>
    <row r="28" customFormat="false" ht="15" hidden="false" customHeight="false" outlineLevel="0" collapsed="false">
      <c r="A28" s="38" t="s">
        <v>114</v>
      </c>
      <c r="B28" s="38"/>
      <c r="C28" s="38"/>
      <c r="D28" s="38"/>
      <c r="E28" s="38"/>
      <c r="F28" s="38"/>
      <c r="G28" s="38"/>
      <c r="H28" s="38"/>
      <c r="I28" s="38"/>
    </row>
    <row r="29" customFormat="false" ht="15" hidden="false" customHeight="false" outlineLevel="0" collapsed="false">
      <c r="A29" s="12"/>
      <c r="B29" s="13" t="s">
        <v>115</v>
      </c>
      <c r="C29" s="13" t="s">
        <v>28</v>
      </c>
      <c r="D29" s="13" t="s">
        <v>116</v>
      </c>
      <c r="E29" s="13" t="s">
        <v>117</v>
      </c>
      <c r="F29" s="13" t="s">
        <v>118</v>
      </c>
      <c r="G29" s="13" t="s">
        <v>51</v>
      </c>
      <c r="H29" s="13" t="s">
        <v>82</v>
      </c>
      <c r="I29" s="13" t="s">
        <v>113</v>
      </c>
    </row>
    <row r="30" customFormat="false" ht="16.5" hidden="false" customHeight="true" outlineLevel="0" collapsed="false">
      <c r="A30" s="38" t="s">
        <v>92</v>
      </c>
      <c r="B30" s="38"/>
      <c r="C30" s="38"/>
      <c r="D30" s="38"/>
      <c r="E30" s="38"/>
      <c r="F30" s="38"/>
      <c r="G30" s="38"/>
      <c r="H30" s="38"/>
      <c r="I30" s="38"/>
    </row>
    <row r="31" customFormat="false" ht="15" hidden="false" customHeight="true" outlineLevel="0" collapsed="false">
      <c r="A31" s="14" t="s">
        <v>105</v>
      </c>
      <c r="B31" s="39" t="n">
        <v>756667</v>
      </c>
      <c r="C31" s="40" t="n">
        <v>0.1089</v>
      </c>
      <c r="D31" s="41" t="n">
        <v>25</v>
      </c>
      <c r="E31" s="28" t="n">
        <f aca="false">IFERROR(B31*C31,0)</f>
        <v>82401.0363</v>
      </c>
      <c r="F31" s="42" t="n">
        <f aca="false">IFERROR(E31/D31,0)</f>
        <v>3296.041452</v>
      </c>
    </row>
    <row r="32" customFormat="false" ht="15" hidden="false" customHeight="true" outlineLevel="0" collapsed="false">
      <c r="A32" s="14" t="s">
        <v>106</v>
      </c>
      <c r="B32" s="39"/>
      <c r="C32" s="40"/>
      <c r="D32" s="41"/>
      <c r="E32" s="28" t="n">
        <f aca="false">IFERROR(B32*C32,0)</f>
        <v>0</v>
      </c>
      <c r="F32" s="42" t="n">
        <f aca="false">IFERROR(E32/D32,0)</f>
        <v>0</v>
      </c>
      <c r="G32" s="32" t="n">
        <f aca="false">IFERROR(E32/F32,0)</f>
        <v>0</v>
      </c>
    </row>
    <row r="33" customFormat="false" ht="15" hidden="false" customHeight="true" outlineLevel="0" collapsed="false">
      <c r="A33" s="18" t="s">
        <v>81</v>
      </c>
      <c r="B33" s="36" t="n">
        <f aca="false">IFERROR(B32-B31,0)</f>
        <v>-756667</v>
      </c>
      <c r="C33" s="37" t="n">
        <f aca="false">IFERROR(C32-C31,0)</f>
        <v>-0.1089</v>
      </c>
      <c r="D33" s="21"/>
      <c r="E33" s="36" t="n">
        <f aca="false">IFERROR(E32-E31,0)</f>
        <v>-82401.0363</v>
      </c>
      <c r="F33" s="21"/>
      <c r="G33" s="21"/>
      <c r="H33" s="35" t="str">
        <f aca="false">IF(E33=0,"-",IF(C33&lt;=0,"GOOD!",IF(C33&lt;=0.01,"CAUTION!","BAD!")))</f>
        <v>GOOD!</v>
      </c>
      <c r="I33" s="35" t="str">
        <f aca="false">IFERROR(IF(E33&gt;0,"TRIM "&amp;TEXT(ABS(E33)/D31,"#,##0")&amp;" HRS TO HIT TARGET","ROOM FOR "&amp;TEXT(ABS(E33)/D31,"#,##0")&amp;" HRS IF NEEDED"),"-")</f>
        <v>ROOM FOR 3,296 HRS IF NEEDED</v>
      </c>
    </row>
    <row r="35" customFormat="false" ht="16.5" hidden="false" customHeight="true" outlineLevel="0" collapsed="false">
      <c r="A35" s="38" t="s">
        <v>93</v>
      </c>
      <c r="B35" s="38"/>
      <c r="C35" s="38"/>
      <c r="D35" s="38"/>
      <c r="E35" s="38"/>
      <c r="F35" s="38"/>
      <c r="G35" s="38"/>
      <c r="H35" s="38"/>
      <c r="I35" s="38"/>
    </row>
    <row r="36" customFormat="false" ht="15" hidden="false" customHeight="true" outlineLevel="0" collapsed="false">
      <c r="A36" s="14" t="s">
        <v>105</v>
      </c>
      <c r="B36" s="39" t="n">
        <v>163000</v>
      </c>
      <c r="C36" s="40" t="n">
        <v>0.1089</v>
      </c>
      <c r="D36" s="41" t="n">
        <v>25</v>
      </c>
      <c r="E36" s="28" t="n">
        <f aca="false">IFERROR(B36*C36,0)</f>
        <v>17750.7</v>
      </c>
      <c r="F36" s="42" t="n">
        <f aca="false">IFERROR(E36/D36,0)</f>
        <v>710.028</v>
      </c>
    </row>
    <row r="37" customFormat="false" ht="15" hidden="false" customHeight="true" outlineLevel="0" collapsed="false">
      <c r="A37" s="14" t="s">
        <v>106</v>
      </c>
      <c r="B37" s="39"/>
      <c r="C37" s="40"/>
      <c r="D37" s="41"/>
      <c r="E37" s="28" t="n">
        <f aca="false">IFERROR(B37*C37,0)</f>
        <v>0</v>
      </c>
      <c r="F37" s="42" t="n">
        <f aca="false">IFERROR(E37/D37,0)</f>
        <v>0</v>
      </c>
      <c r="G37" s="32" t="n">
        <f aca="false">IFERROR(E37/F37,0)</f>
        <v>0</v>
      </c>
    </row>
    <row r="38" customFormat="false" ht="15" hidden="false" customHeight="true" outlineLevel="0" collapsed="false">
      <c r="A38" s="18" t="s">
        <v>81</v>
      </c>
      <c r="B38" s="36" t="n">
        <f aca="false">IFERROR(B37-B36,0)</f>
        <v>-163000</v>
      </c>
      <c r="C38" s="37" t="n">
        <f aca="false">IFERROR(C37-C36,0)</f>
        <v>-0.1089</v>
      </c>
      <c r="D38" s="21"/>
      <c r="E38" s="36" t="n">
        <f aca="false">IFERROR(E37-E36,0)</f>
        <v>-17750.7</v>
      </c>
      <c r="F38" s="21"/>
      <c r="G38" s="21"/>
      <c r="H38" s="35" t="str">
        <f aca="false">IF(E38=0,"-",IF(C38&lt;=0,"GOOD!",IF(C38&lt;=0.01,"CAUTION!","BAD!")))</f>
        <v>GOOD!</v>
      </c>
      <c r="I38" s="35" t="str">
        <f aca="false">IFERROR(IF(E38&gt;0,"TRIM "&amp;TEXT(ABS(E38)/D36,"#,##0")&amp;" HRS TO HIT TARGET","ROOM FOR "&amp;TEXT(ABS(E38)/D36,"#,##0")&amp;" HRS IF NEEDED"),"-")</f>
        <v>ROOM FOR 710 HRS IF NEEDED</v>
      </c>
    </row>
    <row r="40" customFormat="false" ht="16.5" hidden="false" customHeight="true" outlineLevel="0" collapsed="false">
      <c r="A40" s="38" t="s">
        <v>94</v>
      </c>
      <c r="B40" s="38"/>
      <c r="C40" s="38"/>
      <c r="D40" s="38"/>
      <c r="E40" s="38"/>
      <c r="F40" s="38"/>
      <c r="G40" s="38"/>
      <c r="H40" s="38"/>
      <c r="I40" s="38"/>
    </row>
    <row r="41" customFormat="false" ht="15" hidden="false" customHeight="true" outlineLevel="0" collapsed="false">
      <c r="A41" s="14" t="s">
        <v>105</v>
      </c>
      <c r="B41" s="39" t="n">
        <v>121000</v>
      </c>
      <c r="C41" s="40" t="n">
        <v>0.1089</v>
      </c>
      <c r="D41" s="41" t="n">
        <v>25</v>
      </c>
      <c r="E41" s="28" t="n">
        <f aca="false">IFERROR(B41*C41,0)</f>
        <v>13176.9</v>
      </c>
      <c r="F41" s="42" t="n">
        <f aca="false">IFERROR(E41/D41,0)</f>
        <v>527.076</v>
      </c>
    </row>
    <row r="42" customFormat="false" ht="15" hidden="false" customHeight="true" outlineLevel="0" collapsed="false">
      <c r="A42" s="14" t="s">
        <v>106</v>
      </c>
      <c r="B42" s="39"/>
      <c r="C42" s="40"/>
      <c r="D42" s="41"/>
      <c r="E42" s="28" t="n">
        <f aca="false">IFERROR(B42*C42,0)</f>
        <v>0</v>
      </c>
      <c r="F42" s="42" t="n">
        <f aca="false">IFERROR(E42/D42,0)</f>
        <v>0</v>
      </c>
      <c r="G42" s="32" t="n">
        <f aca="false">IFERROR(E42/F42,0)</f>
        <v>0</v>
      </c>
    </row>
    <row r="43" customFormat="false" ht="15" hidden="false" customHeight="true" outlineLevel="0" collapsed="false">
      <c r="A43" s="18" t="s">
        <v>81</v>
      </c>
      <c r="B43" s="36" t="n">
        <f aca="false">IFERROR(B42-B41,0)</f>
        <v>-121000</v>
      </c>
      <c r="C43" s="37" t="n">
        <f aca="false">IFERROR(C42-C41,0)</f>
        <v>-0.1089</v>
      </c>
      <c r="D43" s="21"/>
      <c r="E43" s="36" t="n">
        <f aca="false">IFERROR(E42-E41,0)</f>
        <v>-13176.9</v>
      </c>
      <c r="F43" s="21"/>
      <c r="G43" s="21"/>
      <c r="H43" s="35" t="str">
        <f aca="false">IF(E43=0,"-",IF(C43&lt;=0,"GOOD!",IF(C43&lt;=0.01,"CAUTION!","BAD!")))</f>
        <v>GOOD!</v>
      </c>
      <c r="I43" s="35" t="str">
        <f aca="false">IFERROR(IF(E43&gt;0,"TRIM "&amp;TEXT(ABS(E43)/D41,"#,##0")&amp;" HRS TO HIT TARGET","ROOM FOR "&amp;TEXT(ABS(E43)/D41,"#,##0")&amp;" HRS IF NEEDED"),"-")</f>
        <v>ROOM FOR 527 HRS IF NEEDED</v>
      </c>
    </row>
    <row r="45" customFormat="false" ht="16.5" hidden="false" customHeight="true" outlineLevel="0" collapsed="false">
      <c r="A45" s="38" t="s">
        <v>95</v>
      </c>
      <c r="B45" s="38"/>
      <c r="C45" s="38"/>
      <c r="D45" s="38"/>
      <c r="E45" s="38"/>
      <c r="F45" s="38"/>
      <c r="G45" s="38"/>
      <c r="H45" s="38"/>
      <c r="I45" s="38"/>
    </row>
    <row r="46" customFormat="false" ht="15" hidden="false" customHeight="true" outlineLevel="0" collapsed="false">
      <c r="A46" s="14" t="s">
        <v>105</v>
      </c>
      <c r="B46" s="39" t="n">
        <v>163000</v>
      </c>
      <c r="C46" s="40" t="n">
        <v>0.1089</v>
      </c>
      <c r="D46" s="41" t="n">
        <v>25</v>
      </c>
      <c r="E46" s="28" t="n">
        <f aca="false">IFERROR(B46*C46,0)</f>
        <v>17750.7</v>
      </c>
      <c r="F46" s="42" t="n">
        <f aca="false">IFERROR(E46/D46,0)</f>
        <v>710.028</v>
      </c>
    </row>
    <row r="47" customFormat="false" ht="15" hidden="false" customHeight="true" outlineLevel="0" collapsed="false">
      <c r="A47" s="14" t="s">
        <v>106</v>
      </c>
      <c r="B47" s="39"/>
      <c r="C47" s="40"/>
      <c r="D47" s="41"/>
      <c r="E47" s="28" t="n">
        <f aca="false">IFERROR(B47*C47,0)</f>
        <v>0</v>
      </c>
      <c r="F47" s="42" t="n">
        <f aca="false">IFERROR(E47/D47,0)</f>
        <v>0</v>
      </c>
      <c r="G47" s="32" t="n">
        <f aca="false">IFERROR(E47/F47,0)</f>
        <v>0</v>
      </c>
    </row>
    <row r="48" customFormat="false" ht="15" hidden="false" customHeight="true" outlineLevel="0" collapsed="false">
      <c r="A48" s="18" t="s">
        <v>81</v>
      </c>
      <c r="B48" s="36" t="n">
        <f aca="false">IFERROR(B47-B46,0)</f>
        <v>-163000</v>
      </c>
      <c r="C48" s="37" t="n">
        <f aca="false">IFERROR(C47-C46,0)</f>
        <v>-0.1089</v>
      </c>
      <c r="D48" s="21"/>
      <c r="E48" s="36" t="n">
        <f aca="false">IFERROR(E47-E46,0)</f>
        <v>-17750.7</v>
      </c>
      <c r="F48" s="21"/>
      <c r="G48" s="21"/>
      <c r="H48" s="35" t="str">
        <f aca="false">IF(E48=0,"-",IF(C48&lt;=0,"GOOD!",IF(C48&lt;=0.01,"CAUTION!","BAD!")))</f>
        <v>GOOD!</v>
      </c>
      <c r="I48" s="35" t="str">
        <f aca="false">IFERROR(IF(E48&gt;0,"TRIM "&amp;TEXT(ABS(E48)/D46,"#,##0")&amp;" HRS TO HIT TARGET","ROOM FOR "&amp;TEXT(ABS(E48)/D46,"#,##0")&amp;" HRS IF NEEDED"),"-")</f>
        <v>ROOM FOR 710 HRS IF NEEDED</v>
      </c>
    </row>
    <row r="50" customFormat="false" ht="16.5" hidden="false" customHeight="true" outlineLevel="0" collapsed="false">
      <c r="A50" s="38" t="s">
        <v>96</v>
      </c>
      <c r="B50" s="38"/>
      <c r="C50" s="38"/>
      <c r="D50" s="38"/>
      <c r="E50" s="38"/>
      <c r="F50" s="38"/>
      <c r="G50" s="38"/>
      <c r="H50" s="38"/>
      <c r="I50" s="38"/>
    </row>
    <row r="51" customFormat="false" ht="15" hidden="false" customHeight="true" outlineLevel="0" collapsed="false">
      <c r="A51" s="14" t="s">
        <v>105</v>
      </c>
      <c r="B51" s="39" t="n">
        <v>131667</v>
      </c>
      <c r="C51" s="40" t="n">
        <v>0.1089</v>
      </c>
      <c r="D51" s="41" t="n">
        <v>25</v>
      </c>
      <c r="E51" s="28" t="n">
        <f aca="false">IFERROR(B51*C51,0)</f>
        <v>14338.5363</v>
      </c>
      <c r="F51" s="42" t="n">
        <f aca="false">IFERROR(E51/D51,0)</f>
        <v>573.541452</v>
      </c>
    </row>
    <row r="52" customFormat="false" ht="15" hidden="false" customHeight="true" outlineLevel="0" collapsed="false">
      <c r="A52" s="14" t="s">
        <v>106</v>
      </c>
      <c r="B52" s="39"/>
      <c r="C52" s="40"/>
      <c r="D52" s="41"/>
      <c r="E52" s="28" t="n">
        <f aca="false">IFERROR(B52*C52,0)</f>
        <v>0</v>
      </c>
      <c r="F52" s="42" t="n">
        <f aca="false">IFERROR(E52/D52,0)</f>
        <v>0</v>
      </c>
      <c r="G52" s="32" t="n">
        <f aca="false">IFERROR(E52/F52,0)</f>
        <v>0</v>
      </c>
    </row>
    <row r="53" customFormat="false" ht="15" hidden="false" customHeight="true" outlineLevel="0" collapsed="false">
      <c r="A53" s="18" t="s">
        <v>81</v>
      </c>
      <c r="B53" s="36" t="n">
        <f aca="false">IFERROR(B52-B51,0)</f>
        <v>-131667</v>
      </c>
      <c r="C53" s="37" t="n">
        <f aca="false">IFERROR(C52-C51,0)</f>
        <v>-0.1089</v>
      </c>
      <c r="D53" s="21"/>
      <c r="E53" s="36" t="n">
        <f aca="false">IFERROR(E52-E51,0)</f>
        <v>-14338.5363</v>
      </c>
      <c r="F53" s="21"/>
      <c r="G53" s="21"/>
      <c r="H53" s="35" t="str">
        <f aca="false">IF(E53=0,"-",IF(C53&lt;=0,"GOOD!",IF(C53&lt;=0.01,"CAUTION!","BAD!")))</f>
        <v>GOOD!</v>
      </c>
      <c r="I53" s="35" t="str">
        <f aca="false">IFERROR(IF(E53&gt;0,"TRIM "&amp;TEXT(ABS(E53)/D51,"#,##0")&amp;" HRS TO HIT TARGET","ROOM FOR "&amp;TEXT(ABS(E53)/D51,"#,##0")&amp;" HRS IF NEEDED"),"-")</f>
        <v>ROOM FOR 574 HRS IF NEEDED</v>
      </c>
    </row>
    <row r="55" customFormat="false" ht="16.5" hidden="false" customHeight="true" outlineLevel="0" collapsed="false">
      <c r="A55" s="38" t="s">
        <v>97</v>
      </c>
      <c r="B55" s="38"/>
      <c r="C55" s="38"/>
      <c r="D55" s="38"/>
      <c r="E55" s="38"/>
      <c r="F55" s="38"/>
      <c r="G55" s="38"/>
      <c r="H55" s="38"/>
      <c r="I55" s="38"/>
    </row>
    <row r="56" customFormat="false" ht="15" hidden="false" customHeight="true" outlineLevel="0" collapsed="false">
      <c r="A56" s="14" t="s">
        <v>105</v>
      </c>
      <c r="B56" s="39" t="n">
        <v>131667</v>
      </c>
      <c r="C56" s="40" t="n">
        <v>0.1089</v>
      </c>
      <c r="D56" s="41" t="n">
        <v>25</v>
      </c>
      <c r="E56" s="28" t="n">
        <f aca="false">IFERROR(B56*C56,0)</f>
        <v>14338.5363</v>
      </c>
      <c r="F56" s="42" t="n">
        <f aca="false">IFERROR(E56/D56,0)</f>
        <v>573.541452</v>
      </c>
    </row>
    <row r="57" customFormat="false" ht="15" hidden="false" customHeight="true" outlineLevel="0" collapsed="false">
      <c r="A57" s="14" t="s">
        <v>106</v>
      </c>
      <c r="B57" s="39"/>
      <c r="C57" s="40"/>
      <c r="D57" s="41"/>
      <c r="E57" s="28" t="n">
        <f aca="false">IFERROR(B57*C57,0)</f>
        <v>0</v>
      </c>
      <c r="F57" s="42" t="n">
        <f aca="false">IFERROR(E57/D57,0)</f>
        <v>0</v>
      </c>
      <c r="G57" s="32" t="n">
        <f aca="false">IFERROR(E57/F57,0)</f>
        <v>0</v>
      </c>
    </row>
    <row r="58" customFormat="false" ht="15" hidden="false" customHeight="true" outlineLevel="0" collapsed="false">
      <c r="A58" s="18" t="s">
        <v>81</v>
      </c>
      <c r="B58" s="36" t="n">
        <f aca="false">IFERROR(B57-B56,0)</f>
        <v>-131667</v>
      </c>
      <c r="C58" s="37" t="n">
        <f aca="false">IFERROR(C57-C56,0)</f>
        <v>-0.1089</v>
      </c>
      <c r="D58" s="21"/>
      <c r="E58" s="36" t="n">
        <f aca="false">IFERROR(E57-E56,0)</f>
        <v>-14338.5363</v>
      </c>
      <c r="F58" s="21"/>
      <c r="G58" s="21"/>
      <c r="H58" s="35" t="str">
        <f aca="false">IF(E58=0,"-",IF(C58&lt;=0,"GOOD!",IF(C58&lt;=0.01,"CAUTION!","BAD!")))</f>
        <v>GOOD!</v>
      </c>
      <c r="I58" s="35" t="str">
        <f aca="false">IFERROR(IF(E58&gt;0,"TRIM "&amp;TEXT(ABS(E58)/D56,"#,##0")&amp;" HRS TO HIT TARGET","ROOM FOR "&amp;TEXT(ABS(E58)/D56,"#,##0")&amp;" HRS IF NEEDED"),"-")</f>
        <v>ROOM FOR 574 HRS IF NEEDED</v>
      </c>
    </row>
    <row r="60" customFormat="false" ht="16.5" hidden="false" customHeight="true" outlineLevel="0" collapsed="false">
      <c r="A60" s="38" t="s">
        <v>98</v>
      </c>
      <c r="B60" s="38"/>
      <c r="C60" s="38"/>
      <c r="D60" s="38"/>
      <c r="E60" s="38"/>
      <c r="F60" s="38"/>
      <c r="G60" s="38"/>
      <c r="H60" s="38"/>
      <c r="I60" s="38"/>
    </row>
    <row r="61" customFormat="false" ht="15" hidden="false" customHeight="true" outlineLevel="0" collapsed="false">
      <c r="A61" s="14" t="s">
        <v>105</v>
      </c>
      <c r="B61" s="39" t="n">
        <v>7667</v>
      </c>
      <c r="C61" s="40" t="n">
        <v>0.1089</v>
      </c>
      <c r="D61" s="41" t="n">
        <v>25</v>
      </c>
      <c r="E61" s="28" t="n">
        <f aca="false">IFERROR(B61*C61,0)</f>
        <v>834.9363</v>
      </c>
      <c r="F61" s="42" t="n">
        <f aca="false">IFERROR(E61/D61,0)</f>
        <v>33.397452</v>
      </c>
    </row>
    <row r="62" customFormat="false" ht="15" hidden="false" customHeight="true" outlineLevel="0" collapsed="false">
      <c r="A62" s="14" t="s">
        <v>106</v>
      </c>
      <c r="B62" s="39"/>
      <c r="C62" s="40"/>
      <c r="D62" s="41"/>
      <c r="E62" s="28" t="n">
        <f aca="false">IFERROR(B62*C62,0)</f>
        <v>0</v>
      </c>
      <c r="F62" s="42" t="n">
        <f aca="false">IFERROR(E62/D62,0)</f>
        <v>0</v>
      </c>
      <c r="G62" s="32" t="n">
        <f aca="false">IFERROR(E62/F62,0)</f>
        <v>0</v>
      </c>
    </row>
    <row r="63" customFormat="false" ht="15" hidden="false" customHeight="true" outlineLevel="0" collapsed="false">
      <c r="A63" s="18" t="s">
        <v>81</v>
      </c>
      <c r="B63" s="36" t="n">
        <f aca="false">IFERROR(B62-B61,0)</f>
        <v>-7667</v>
      </c>
      <c r="C63" s="37" t="n">
        <f aca="false">IFERROR(C62-C61,0)</f>
        <v>-0.1089</v>
      </c>
      <c r="D63" s="21"/>
      <c r="E63" s="36" t="n">
        <f aca="false">IFERROR(E62-E61,0)</f>
        <v>-834.9363</v>
      </c>
      <c r="F63" s="21"/>
      <c r="G63" s="21"/>
      <c r="H63" s="35" t="str">
        <f aca="false">IF(E63=0,"-",IF(C63&lt;=0,"GOOD!",IF(C63&lt;=0.01,"CAUTION!","BAD!")))</f>
        <v>GOOD!</v>
      </c>
      <c r="I63" s="35" t="str">
        <f aca="false">IFERROR(IF(E63&gt;0,"TRIM "&amp;TEXT(ABS(E63)/D61,"#,##0")&amp;" HRS TO HIT TARGET","ROOM FOR "&amp;TEXT(ABS(E63)/D61,"#,##0")&amp;" HRS IF NEEDED"),"-")</f>
        <v>ROOM FOR 33 HRS IF NEEDED</v>
      </c>
    </row>
    <row r="65" customFormat="false" ht="16.5" hidden="false" customHeight="true" outlineLevel="0" collapsed="false">
      <c r="A65" s="38" t="s">
        <v>99</v>
      </c>
      <c r="B65" s="38"/>
      <c r="C65" s="38"/>
      <c r="D65" s="38"/>
      <c r="E65" s="38"/>
      <c r="F65" s="38"/>
      <c r="G65" s="38"/>
      <c r="H65" s="38"/>
      <c r="I65" s="38"/>
    </row>
    <row r="66" customFormat="false" ht="15" hidden="false" customHeight="true" outlineLevel="0" collapsed="false">
      <c r="A66" s="14" t="s">
        <v>105</v>
      </c>
      <c r="B66" s="39" t="n">
        <v>3100</v>
      </c>
      <c r="C66" s="40" t="n">
        <v>0.1089</v>
      </c>
      <c r="D66" s="41" t="n">
        <v>25</v>
      </c>
      <c r="E66" s="28" t="n">
        <f aca="false">IFERROR(B66*C66,0)</f>
        <v>337.59</v>
      </c>
      <c r="F66" s="42" t="n">
        <f aca="false">IFERROR(E66/D66,0)</f>
        <v>13.5036</v>
      </c>
    </row>
    <row r="67" customFormat="false" ht="15" hidden="false" customHeight="true" outlineLevel="0" collapsed="false">
      <c r="A67" s="14" t="s">
        <v>106</v>
      </c>
      <c r="B67" s="39"/>
      <c r="C67" s="40"/>
      <c r="D67" s="41"/>
      <c r="E67" s="28" t="n">
        <f aca="false">IFERROR(B67*C67,0)</f>
        <v>0</v>
      </c>
      <c r="F67" s="42" t="n">
        <f aca="false">IFERROR(E67/D67,0)</f>
        <v>0</v>
      </c>
      <c r="G67" s="32" t="n">
        <f aca="false">IFERROR(E67/F67,0)</f>
        <v>0</v>
      </c>
    </row>
    <row r="68" customFormat="false" ht="15" hidden="false" customHeight="true" outlineLevel="0" collapsed="false">
      <c r="A68" s="18" t="s">
        <v>81</v>
      </c>
      <c r="B68" s="36" t="n">
        <f aca="false">IFERROR(B67-B66,0)</f>
        <v>-3100</v>
      </c>
      <c r="C68" s="37" t="n">
        <f aca="false">IFERROR(C67-C66,0)</f>
        <v>-0.1089</v>
      </c>
      <c r="D68" s="21"/>
      <c r="E68" s="36" t="n">
        <f aca="false">IFERROR(E67-E66,0)</f>
        <v>-337.59</v>
      </c>
      <c r="F68" s="21"/>
      <c r="G68" s="21"/>
      <c r="H68" s="35" t="str">
        <f aca="false">IF(E68=0,"-",IF(C68&lt;=0,"GOOD!",IF(C68&lt;=0.01,"CAUTION!","BAD!")))</f>
        <v>GOOD!</v>
      </c>
      <c r="I68" s="35" t="str">
        <f aca="false">IFERROR(IF(E68&gt;0,"TRIM "&amp;TEXT(ABS(E68)/D66,"#,##0")&amp;" HRS TO HIT TARGET","ROOM FOR "&amp;TEXT(ABS(E68)/D66,"#,##0")&amp;" HRS IF NEEDED"),"-")</f>
        <v>ROOM FOR 14 HRS IF NEEDED</v>
      </c>
    </row>
    <row r="70" customFormat="false" ht="16.5" hidden="false" customHeight="true" outlineLevel="0" collapsed="false">
      <c r="A70" s="38" t="s">
        <v>100</v>
      </c>
      <c r="B70" s="38"/>
      <c r="C70" s="38"/>
      <c r="D70" s="38"/>
      <c r="E70" s="38"/>
      <c r="F70" s="38"/>
      <c r="G70" s="38"/>
      <c r="H70" s="38"/>
      <c r="I70" s="38"/>
    </row>
    <row r="71" customFormat="false" ht="15" hidden="false" customHeight="true" outlineLevel="0" collapsed="false">
      <c r="A71" s="14" t="s">
        <v>105</v>
      </c>
      <c r="B71" s="39" t="n">
        <v>69667</v>
      </c>
      <c r="C71" s="40" t="n">
        <v>0.1089</v>
      </c>
      <c r="D71" s="41" t="n">
        <v>25</v>
      </c>
      <c r="E71" s="28" t="n">
        <f aca="false">IFERROR(B71*C71,0)</f>
        <v>7586.7363</v>
      </c>
      <c r="F71" s="42" t="n">
        <f aca="false">IFERROR(E71/D71,0)</f>
        <v>303.469452</v>
      </c>
    </row>
    <row r="72" customFormat="false" ht="15" hidden="false" customHeight="true" outlineLevel="0" collapsed="false">
      <c r="A72" s="14" t="s">
        <v>106</v>
      </c>
      <c r="B72" s="39"/>
      <c r="C72" s="40"/>
      <c r="D72" s="41"/>
      <c r="E72" s="28" t="n">
        <f aca="false">IFERROR(B72*C72,0)</f>
        <v>0</v>
      </c>
      <c r="F72" s="42" t="n">
        <f aca="false">IFERROR(E72/D72,0)</f>
        <v>0</v>
      </c>
      <c r="G72" s="32" t="n">
        <f aca="false">IFERROR(E72/F72,0)</f>
        <v>0</v>
      </c>
    </row>
    <row r="73" customFormat="false" ht="15" hidden="false" customHeight="true" outlineLevel="0" collapsed="false">
      <c r="A73" s="18" t="s">
        <v>81</v>
      </c>
      <c r="B73" s="36" t="n">
        <f aca="false">IFERROR(B72-B71,0)</f>
        <v>-69667</v>
      </c>
      <c r="C73" s="37" t="n">
        <f aca="false">IFERROR(C72-C71,0)</f>
        <v>-0.1089</v>
      </c>
      <c r="D73" s="21"/>
      <c r="E73" s="36" t="n">
        <f aca="false">IFERROR(E72-E71,0)</f>
        <v>-7586.7363</v>
      </c>
      <c r="F73" s="21"/>
      <c r="G73" s="21"/>
      <c r="H73" s="35" t="str">
        <f aca="false">IF(E73=0,"-",IF(C73&lt;=0,"GOOD!",IF(C73&lt;=0.01,"CAUTION!","BAD!")))</f>
        <v>GOOD!</v>
      </c>
      <c r="I73" s="35" t="str">
        <f aca="false">IFERROR(IF(E73&gt;0,"TRIM "&amp;TEXT(ABS(E73)/D71,"#,##0")&amp;" HRS TO HIT TARGET","ROOM FOR "&amp;TEXT(ABS(E73)/D71,"#,##0")&amp;" HRS IF NEEDED"),"-")</f>
        <v>ROOM FOR 303 HRS IF NEEDED</v>
      </c>
    </row>
    <row r="75" customFormat="false" ht="16.5" hidden="false" customHeight="true" outlineLevel="0" collapsed="false">
      <c r="A75" s="38" t="s">
        <v>119</v>
      </c>
      <c r="B75" s="38"/>
      <c r="C75" s="38"/>
      <c r="D75" s="38"/>
      <c r="E75" s="38"/>
      <c r="F75" s="38"/>
      <c r="G75" s="38"/>
      <c r="H75" s="38"/>
      <c r="I75" s="38"/>
    </row>
    <row r="76" customFormat="false" ht="15" hidden="false" customHeight="true" outlineLevel="0" collapsed="false">
      <c r="A76" s="14" t="s">
        <v>105</v>
      </c>
      <c r="C76" s="40" t="n">
        <v>0.02</v>
      </c>
      <c r="D76" s="41" t="n">
        <v>25</v>
      </c>
      <c r="E76" s="28" t="n">
        <f aca="false">IFERROR(C76*B82,0)</f>
        <v>30948.7</v>
      </c>
      <c r="F76" s="42" t="n">
        <f aca="false">IFERROR(E76/D76,0)</f>
        <v>1237.948</v>
      </c>
    </row>
    <row r="77" customFormat="false" ht="15" hidden="false" customHeight="true" outlineLevel="0" collapsed="false">
      <c r="A77" s="14" t="s">
        <v>106</v>
      </c>
      <c r="C77" s="40"/>
      <c r="D77" s="41"/>
      <c r="E77" s="28" t="n">
        <f aca="false">IFERROR(C77*B83,0)</f>
        <v>0</v>
      </c>
      <c r="F77" s="42" t="n">
        <f aca="false">IFERROR(E77/D77,0)</f>
        <v>0</v>
      </c>
      <c r="G77" s="32" t="n">
        <f aca="false">IFERROR(E77/F77,0)</f>
        <v>0</v>
      </c>
    </row>
    <row r="78" customFormat="false" ht="15" hidden="false" customHeight="true" outlineLevel="0" collapsed="false">
      <c r="A78" s="18" t="s">
        <v>81</v>
      </c>
      <c r="B78" s="21"/>
      <c r="C78" s="37" t="n">
        <f aca="false">IFERROR(C77-C76,0)</f>
        <v>-0.02</v>
      </c>
      <c r="D78" s="21"/>
      <c r="E78" s="36" t="n">
        <f aca="false">IFERROR(E77-E76,0)</f>
        <v>-30948.7</v>
      </c>
      <c r="F78" s="21"/>
      <c r="G78" s="21"/>
      <c r="H78" s="35" t="str">
        <f aca="false">IF(E78=0,"-",IF(C78&lt;=0,"GOOD!",IF(C78&lt;=0.01,"CAUTION!","BAD!")))</f>
        <v>GOOD!</v>
      </c>
      <c r="I78" s="35" t="str">
        <f aca="false">IFERROR(IF(E78&gt;0,"TRIM "&amp;TEXT(ABS(E78)/D76,"#,##0")&amp;" HRS TO HIT TARGET","ROOM FOR "&amp;TEXT(ABS(E78)/D76,"#,##0")&amp;" HRS IF NEEDED"),"-")</f>
        <v>ROOM FOR 1,238 HRS IF NEEDED</v>
      </c>
    </row>
    <row r="81" customFormat="false" ht="19.5" hidden="false" customHeight="true" outlineLevel="0" collapsed="false">
      <c r="A81" s="43" t="s">
        <v>102</v>
      </c>
      <c r="B81" s="43"/>
      <c r="C81" s="43"/>
      <c r="D81" s="43"/>
      <c r="E81" s="43"/>
      <c r="F81" s="43"/>
      <c r="G81" s="43"/>
      <c r="H81" s="43"/>
      <c r="I81" s="43"/>
    </row>
    <row r="82" customFormat="false" ht="15" hidden="false" customHeight="true" outlineLevel="0" collapsed="false">
      <c r="A82" s="12" t="s">
        <v>105</v>
      </c>
      <c r="B82" s="28" t="n">
        <f aca="false">B31+B36+B41+B46+B51+B56+B61+B66+B71</f>
        <v>1547435</v>
      </c>
      <c r="C82" s="30" t="n">
        <f aca="false">IFERROR(E82/B82,0)</f>
        <v>0.1289</v>
      </c>
      <c r="E82" s="28" t="n">
        <f aca="false">E31+E36+E41+E46+E51+E56+E61+E66+E71+E76</f>
        <v>199464.3715</v>
      </c>
      <c r="F82" s="42" t="n">
        <f aca="false">F31+F36+F41+F46+F51+F56+F61+F66+F71+F76</f>
        <v>7978.57486</v>
      </c>
    </row>
    <row r="83" customFormat="false" ht="15" hidden="false" customHeight="true" outlineLevel="0" collapsed="false">
      <c r="A83" s="12" t="s">
        <v>106</v>
      </c>
      <c r="B83" s="28" t="n">
        <f aca="false">B32+B37+B42+B47+B52+B57+B62+B67+B72</f>
        <v>0</v>
      </c>
      <c r="C83" s="30" t="n">
        <f aca="false">IFERROR(E83/B83,0)</f>
        <v>0</v>
      </c>
      <c r="E83" s="28" t="n">
        <f aca="false">E32+E37+E42+E47+E52+E57+E62+E67+E72+E77</f>
        <v>0</v>
      </c>
      <c r="F83" s="42" t="n">
        <f aca="false">F32+F37+F42+F47+F52+F57+F62+F67+F72+F77</f>
        <v>0</v>
      </c>
      <c r="G83" s="32" t="n">
        <f aca="false">IFERROR(E83/F83,0)</f>
        <v>0</v>
      </c>
    </row>
    <row r="84" customFormat="false" ht="15" hidden="false" customHeight="true" outlineLevel="0" collapsed="false">
      <c r="A84" s="26" t="s">
        <v>81</v>
      </c>
      <c r="B84" s="36" t="n">
        <f aca="false">IFERROR(B83-B82,0)</f>
        <v>-1547435</v>
      </c>
      <c r="C84" s="37" t="n">
        <f aca="false">IFERROR(C83-C82,0)</f>
        <v>-0.1289</v>
      </c>
      <c r="D84" s="21"/>
      <c r="E84" s="36" t="n">
        <f aca="false">IFERROR(E83-E82,0)</f>
        <v>-199464.3715</v>
      </c>
      <c r="F84" s="21"/>
      <c r="G84" s="21"/>
      <c r="H84" s="35" t="str">
        <f aca="false">IF(E84=0,"-",IF(C84&lt;=0,"GOOD!",IF(C84&lt;=0.01,"CAUTION!","BAD!")))</f>
        <v>GOOD!</v>
      </c>
      <c r="I84" s="35" t="str">
        <f aca="false">IFERROR(IF(E84&gt;0,"TRIM "&amp;TEXT(ABS(E84)/IFERROR(E82/F82,25),"#,##0")&amp;" HRS TO HIT TARGET","ROOM FOR "&amp;TEXT(ABS(E84)/IFERROR(E82/F82,25),"#,##0")&amp;" HRS IF NEEDED"),"-")</f>
        <v>ROOM FOR 7,979 HRS IF NEEDED</v>
      </c>
    </row>
  </sheetData>
  <mergeCells count="15">
    <mergeCell ref="A1:I1"/>
    <mergeCell ref="A3:I3"/>
    <mergeCell ref="A12:I12"/>
    <mergeCell ref="A28:I28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1:I81"/>
  </mergeCells>
  <conditionalFormatting sqref="G14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G15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G16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G17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G18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G19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G20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G21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G22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G23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G24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conditionalFormatting sqref="G25">
    <cfRule type="cellIs" priority="35" operator="equal" aboveAverage="0" equalAverage="0" bottom="0" percent="0" rank="0" text="" dxfId="0">
      <formula>"GOOD!"</formula>
    </cfRule>
    <cfRule type="cellIs" priority="36" operator="equal" aboveAverage="0" equalAverage="0" bottom="0" percent="0" rank="0" text="" dxfId="1">
      <formula>"CAUTION!"</formula>
    </cfRule>
    <cfRule type="cellIs" priority="37" operator="equal" aboveAverage="0" equalAverage="0" bottom="0" percent="0" rank="0" text="" dxfId="2">
      <formula>"BAD!"</formula>
    </cfRule>
  </conditionalFormatting>
  <conditionalFormatting sqref="H33">
    <cfRule type="cellIs" priority="38" operator="equal" aboveAverage="0" equalAverage="0" bottom="0" percent="0" rank="0" text="" dxfId="0">
      <formula>"GOOD!"</formula>
    </cfRule>
    <cfRule type="cellIs" priority="39" operator="equal" aboveAverage="0" equalAverage="0" bottom="0" percent="0" rank="0" text="" dxfId="1">
      <formula>"CAUTION!"</formula>
    </cfRule>
    <cfRule type="cellIs" priority="40" operator="equal" aboveAverage="0" equalAverage="0" bottom="0" percent="0" rank="0" text="" dxfId="2">
      <formula>"BAD!"</formula>
    </cfRule>
  </conditionalFormatting>
  <conditionalFormatting sqref="H38">
    <cfRule type="cellIs" priority="41" operator="equal" aboveAverage="0" equalAverage="0" bottom="0" percent="0" rank="0" text="" dxfId="0">
      <formula>"GOOD!"</formula>
    </cfRule>
    <cfRule type="cellIs" priority="42" operator="equal" aboveAverage="0" equalAverage="0" bottom="0" percent="0" rank="0" text="" dxfId="1">
      <formula>"CAUTION!"</formula>
    </cfRule>
    <cfRule type="cellIs" priority="43" operator="equal" aboveAverage="0" equalAverage="0" bottom="0" percent="0" rank="0" text="" dxfId="2">
      <formula>"BAD!"</formula>
    </cfRule>
  </conditionalFormatting>
  <conditionalFormatting sqref="H43">
    <cfRule type="cellIs" priority="44" operator="equal" aboveAverage="0" equalAverage="0" bottom="0" percent="0" rank="0" text="" dxfId="0">
      <formula>"GOOD!"</formula>
    </cfRule>
    <cfRule type="cellIs" priority="45" operator="equal" aboveAverage="0" equalAverage="0" bottom="0" percent="0" rank="0" text="" dxfId="1">
      <formula>"CAUTION!"</formula>
    </cfRule>
    <cfRule type="cellIs" priority="46" operator="equal" aboveAverage="0" equalAverage="0" bottom="0" percent="0" rank="0" text="" dxfId="2">
      <formula>"BAD!"</formula>
    </cfRule>
  </conditionalFormatting>
  <conditionalFormatting sqref="H48">
    <cfRule type="cellIs" priority="47" operator="equal" aboveAverage="0" equalAverage="0" bottom="0" percent="0" rank="0" text="" dxfId="0">
      <formula>"GOOD!"</formula>
    </cfRule>
    <cfRule type="cellIs" priority="48" operator="equal" aboveAverage="0" equalAverage="0" bottom="0" percent="0" rank="0" text="" dxfId="1">
      <formula>"CAUTION!"</formula>
    </cfRule>
    <cfRule type="cellIs" priority="49" operator="equal" aboveAverage="0" equalAverage="0" bottom="0" percent="0" rank="0" text="" dxfId="2">
      <formula>"BAD!"</formula>
    </cfRule>
  </conditionalFormatting>
  <conditionalFormatting sqref="H53">
    <cfRule type="cellIs" priority="50" operator="equal" aboveAverage="0" equalAverage="0" bottom="0" percent="0" rank="0" text="" dxfId="0">
      <formula>"GOOD!"</formula>
    </cfRule>
    <cfRule type="cellIs" priority="51" operator="equal" aboveAverage="0" equalAverage="0" bottom="0" percent="0" rank="0" text="" dxfId="1">
      <formula>"CAUTION!"</formula>
    </cfRule>
    <cfRule type="cellIs" priority="52" operator="equal" aboveAverage="0" equalAverage="0" bottom="0" percent="0" rank="0" text="" dxfId="2">
      <formula>"BAD!"</formula>
    </cfRule>
  </conditionalFormatting>
  <conditionalFormatting sqref="H58">
    <cfRule type="cellIs" priority="53" operator="equal" aboveAverage="0" equalAverage="0" bottom="0" percent="0" rank="0" text="" dxfId="0">
      <formula>"GOOD!"</formula>
    </cfRule>
    <cfRule type="cellIs" priority="54" operator="equal" aboveAverage="0" equalAverage="0" bottom="0" percent="0" rank="0" text="" dxfId="1">
      <formula>"CAUTION!"</formula>
    </cfRule>
    <cfRule type="cellIs" priority="55" operator="equal" aboveAverage="0" equalAverage="0" bottom="0" percent="0" rank="0" text="" dxfId="2">
      <formula>"BAD!"</formula>
    </cfRule>
  </conditionalFormatting>
  <conditionalFormatting sqref="H63">
    <cfRule type="cellIs" priority="56" operator="equal" aboveAverage="0" equalAverage="0" bottom="0" percent="0" rank="0" text="" dxfId="0">
      <formula>"GOOD!"</formula>
    </cfRule>
    <cfRule type="cellIs" priority="57" operator="equal" aboveAverage="0" equalAverage="0" bottom="0" percent="0" rank="0" text="" dxfId="1">
      <formula>"CAUTION!"</formula>
    </cfRule>
    <cfRule type="cellIs" priority="58" operator="equal" aboveAverage="0" equalAverage="0" bottom="0" percent="0" rank="0" text="" dxfId="2">
      <formula>"BAD!"</formula>
    </cfRule>
  </conditionalFormatting>
  <conditionalFormatting sqref="H68">
    <cfRule type="cellIs" priority="59" operator="equal" aboveAverage="0" equalAverage="0" bottom="0" percent="0" rank="0" text="" dxfId="0">
      <formula>"GOOD!"</formula>
    </cfRule>
    <cfRule type="cellIs" priority="60" operator="equal" aboveAverage="0" equalAverage="0" bottom="0" percent="0" rank="0" text="" dxfId="1">
      <formula>"CAUTION!"</formula>
    </cfRule>
    <cfRule type="cellIs" priority="61" operator="equal" aboveAverage="0" equalAverage="0" bottom="0" percent="0" rank="0" text="" dxfId="2">
      <formula>"BAD!"</formula>
    </cfRule>
  </conditionalFormatting>
  <conditionalFormatting sqref="H73">
    <cfRule type="cellIs" priority="62" operator="equal" aboveAverage="0" equalAverage="0" bottom="0" percent="0" rank="0" text="" dxfId="0">
      <formula>"GOOD!"</formula>
    </cfRule>
    <cfRule type="cellIs" priority="63" operator="equal" aboveAverage="0" equalAverage="0" bottom="0" percent="0" rank="0" text="" dxfId="1">
      <formula>"CAUTION!"</formula>
    </cfRule>
    <cfRule type="cellIs" priority="64" operator="equal" aboveAverage="0" equalAverage="0" bottom="0" percent="0" rank="0" text="" dxfId="2">
      <formula>"BAD!"</formula>
    </cfRule>
  </conditionalFormatting>
  <conditionalFormatting sqref="H78">
    <cfRule type="cellIs" priority="65" operator="equal" aboveAverage="0" equalAverage="0" bottom="0" percent="0" rank="0" text="" dxfId="0">
      <formula>"GOOD!"</formula>
    </cfRule>
    <cfRule type="cellIs" priority="66" operator="equal" aboveAverage="0" equalAverage="0" bottom="0" percent="0" rank="0" text="" dxfId="1">
      <formula>"CAUTION!"</formula>
    </cfRule>
    <cfRule type="cellIs" priority="67" operator="equal" aboveAverage="0" equalAverage="0" bottom="0" percent="0" rank="0" text="" dxfId="2">
      <formula>"BAD!"</formula>
    </cfRule>
  </conditionalFormatting>
  <conditionalFormatting sqref="H84">
    <cfRule type="cellIs" priority="68" operator="equal" aboveAverage="0" equalAverage="0" bottom="0" percent="0" rank="0" text="" dxfId="0">
      <formula>"GOOD!"</formula>
    </cfRule>
    <cfRule type="cellIs" priority="69" operator="equal" aboveAverage="0" equalAverage="0" bottom="0" percent="0" rank="0" text="" dxfId="1">
      <formula>"CAUTION!"</formula>
    </cfRule>
    <cfRule type="cellIs" priority="70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21.7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104</v>
      </c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2"/>
      <c r="B4" s="13" t="s">
        <v>105</v>
      </c>
      <c r="C4" s="13" t="s">
        <v>106</v>
      </c>
      <c r="D4" s="13" t="s">
        <v>81</v>
      </c>
      <c r="E4" s="13" t="s">
        <v>82</v>
      </c>
      <c r="F4" s="27"/>
      <c r="G4" s="27"/>
      <c r="H4" s="27"/>
      <c r="I4" s="27"/>
    </row>
    <row r="5" customFormat="false" ht="15" hidden="false" customHeight="false" outlineLevel="0" collapsed="false">
      <c r="A5" s="14" t="s">
        <v>83</v>
      </c>
      <c r="B5" s="28" t="n">
        <f aca="false">B82</f>
        <v>1547435</v>
      </c>
      <c r="C5" s="28" t="n">
        <f aca="false">B83</f>
        <v>0</v>
      </c>
      <c r="D5" s="28" t="n">
        <f aca="false">IFERROR(B83-B82,0)</f>
        <v>-1547435</v>
      </c>
      <c r="E5" s="29" t="str">
        <f aca="false">IF(B83&gt;=B82,"GOOD!","BELOW PLAN")</f>
        <v>BELOW PLAN</v>
      </c>
    </row>
    <row r="6" customFormat="false" ht="15" hidden="false" customHeight="false" outlineLevel="0" collapsed="false">
      <c r="A6" s="5" t="s">
        <v>84</v>
      </c>
      <c r="B6" s="28" t="n">
        <f aca="false">E82</f>
        <v>199464.3715</v>
      </c>
      <c r="C6" s="28" t="n">
        <f aca="false">E83</f>
        <v>0</v>
      </c>
      <c r="D6" s="28" t="n">
        <f aca="false">IFERROR(E83-E82,0)</f>
        <v>-199464.3715</v>
      </c>
      <c r="E6" s="29" t="str">
        <f aca="false">H84</f>
        <v>GOOD!</v>
      </c>
    </row>
    <row r="7" customFormat="false" ht="15" hidden="false" customHeight="false" outlineLevel="0" collapsed="false">
      <c r="A7" s="14" t="s">
        <v>28</v>
      </c>
      <c r="B7" s="30" t="n">
        <f aca="false">C82</f>
        <v>0.1289</v>
      </c>
      <c r="C7" s="30" t="n">
        <f aca="false">C83</f>
        <v>0</v>
      </c>
      <c r="D7" s="31" t="n">
        <f aca="false">IFERROR(C83-C82,0)</f>
        <v>-0.1289</v>
      </c>
      <c r="E7" s="29" t="str">
        <f aca="false">H84</f>
        <v>GOOD!</v>
      </c>
    </row>
    <row r="8" customFormat="false" ht="15" hidden="false" customHeight="false" outlineLevel="0" collapsed="false">
      <c r="A8" s="5" t="s">
        <v>59</v>
      </c>
      <c r="B8" s="29" t="s">
        <v>85</v>
      </c>
      <c r="C8" s="32" t="n">
        <f aca="false">G83</f>
        <v>0</v>
      </c>
      <c r="D8" s="29" t="s">
        <v>85</v>
      </c>
    </row>
    <row r="9" customFormat="false" ht="15" hidden="false" customHeight="false" outlineLevel="0" collapsed="false">
      <c r="A9" s="18" t="s">
        <v>107</v>
      </c>
      <c r="B9" s="33" t="n">
        <f aca="false">F82</f>
        <v>7978.57486</v>
      </c>
      <c r="C9" s="33" t="n">
        <f aca="false">F83</f>
        <v>0</v>
      </c>
      <c r="D9" s="34" t="n">
        <f aca="false">IFERROR(F83-F82,0)</f>
        <v>-7978.57486</v>
      </c>
      <c r="E9" s="35" t="str">
        <f aca="false">H84</f>
        <v>GOOD!</v>
      </c>
      <c r="F9" s="21"/>
      <c r="G9" s="21"/>
      <c r="H9" s="21"/>
      <c r="I9" s="21"/>
    </row>
    <row r="12" customFormat="false" ht="15" hidden="false" customHeight="false" outlineLevel="0" collapsed="false">
      <c r="A12" s="11" t="s">
        <v>108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87</v>
      </c>
      <c r="B13" s="13" t="s">
        <v>109</v>
      </c>
      <c r="C13" s="13" t="s">
        <v>110</v>
      </c>
      <c r="D13" s="13" t="s">
        <v>90</v>
      </c>
      <c r="E13" s="13" t="s">
        <v>111</v>
      </c>
      <c r="F13" s="13" t="s">
        <v>112</v>
      </c>
      <c r="G13" s="13" t="s">
        <v>82</v>
      </c>
      <c r="H13" s="13" t="s">
        <v>113</v>
      </c>
    </row>
    <row r="14" customFormat="false" ht="15" hidden="false" customHeight="false" outlineLevel="0" collapsed="false">
      <c r="A14" s="14" t="s">
        <v>92</v>
      </c>
      <c r="B14" s="28" t="n">
        <f aca="false">E31</f>
        <v>82401.0363</v>
      </c>
      <c r="C14" s="28" t="n">
        <f aca="false">E32</f>
        <v>0</v>
      </c>
      <c r="D14" s="31" t="n">
        <f aca="false">C32</f>
        <v>0</v>
      </c>
      <c r="E14" s="28" t="n">
        <f aca="false">E33</f>
        <v>-82401.0363</v>
      </c>
      <c r="F14" s="31" t="n">
        <f aca="false">C33</f>
        <v>-0.1089</v>
      </c>
      <c r="G14" s="29" t="str">
        <f aca="false">H33</f>
        <v>GOOD!</v>
      </c>
      <c r="H14" s="29" t="str">
        <f aca="false">I33</f>
        <v>ROOM FOR 3,296 HRS IF NEEDED</v>
      </c>
    </row>
    <row r="15" customFormat="false" ht="15" hidden="false" customHeight="false" outlineLevel="0" collapsed="false">
      <c r="A15" s="5" t="s">
        <v>93</v>
      </c>
      <c r="B15" s="28" t="n">
        <f aca="false">E36</f>
        <v>17750.7</v>
      </c>
      <c r="C15" s="28" t="n">
        <f aca="false">E37</f>
        <v>0</v>
      </c>
      <c r="D15" s="31" t="n">
        <f aca="false">C37</f>
        <v>0</v>
      </c>
      <c r="E15" s="28" t="n">
        <f aca="false">E38</f>
        <v>-17750.7</v>
      </c>
      <c r="F15" s="31" t="n">
        <f aca="false">C38</f>
        <v>-0.1089</v>
      </c>
      <c r="G15" s="29" t="str">
        <f aca="false">H38</f>
        <v>GOOD!</v>
      </c>
      <c r="H15" s="29" t="str">
        <f aca="false">I38</f>
        <v>ROOM FOR 710 HRS IF NEEDED</v>
      </c>
    </row>
    <row r="16" customFormat="false" ht="15" hidden="false" customHeight="false" outlineLevel="0" collapsed="false">
      <c r="A16" s="14" t="s">
        <v>94</v>
      </c>
      <c r="B16" s="28" t="n">
        <f aca="false">E41</f>
        <v>13176.9</v>
      </c>
      <c r="C16" s="28" t="n">
        <f aca="false">E42</f>
        <v>0</v>
      </c>
      <c r="D16" s="31" t="n">
        <f aca="false">C42</f>
        <v>0</v>
      </c>
      <c r="E16" s="28" t="n">
        <f aca="false">E43</f>
        <v>-13176.9</v>
      </c>
      <c r="F16" s="31" t="n">
        <f aca="false">C43</f>
        <v>-0.1089</v>
      </c>
      <c r="G16" s="29" t="str">
        <f aca="false">H43</f>
        <v>GOOD!</v>
      </c>
      <c r="H16" s="29" t="str">
        <f aca="false">I43</f>
        <v>ROOM FOR 527 HRS IF NEEDED</v>
      </c>
    </row>
    <row r="17" customFormat="false" ht="15" hidden="false" customHeight="false" outlineLevel="0" collapsed="false">
      <c r="A17" s="5" t="s">
        <v>95</v>
      </c>
      <c r="B17" s="28" t="n">
        <f aca="false">E46</f>
        <v>17750.7</v>
      </c>
      <c r="C17" s="28" t="n">
        <f aca="false">E47</f>
        <v>0</v>
      </c>
      <c r="D17" s="31" t="n">
        <f aca="false">C47</f>
        <v>0</v>
      </c>
      <c r="E17" s="28" t="n">
        <f aca="false">E48</f>
        <v>-17750.7</v>
      </c>
      <c r="F17" s="31" t="n">
        <f aca="false">C48</f>
        <v>-0.1089</v>
      </c>
      <c r="G17" s="29" t="str">
        <f aca="false">H48</f>
        <v>GOOD!</v>
      </c>
      <c r="H17" s="29" t="str">
        <f aca="false">I48</f>
        <v>ROOM FOR 710 HRS IF NEEDED</v>
      </c>
    </row>
    <row r="18" customFormat="false" ht="15" hidden="false" customHeight="false" outlineLevel="0" collapsed="false">
      <c r="A18" s="14" t="s">
        <v>96</v>
      </c>
      <c r="B18" s="28" t="n">
        <f aca="false">E51</f>
        <v>14338.5363</v>
      </c>
      <c r="C18" s="28" t="n">
        <f aca="false">E52</f>
        <v>0</v>
      </c>
      <c r="D18" s="31" t="n">
        <f aca="false">C52</f>
        <v>0</v>
      </c>
      <c r="E18" s="28" t="n">
        <f aca="false">E53</f>
        <v>-14338.5363</v>
      </c>
      <c r="F18" s="31" t="n">
        <f aca="false">C53</f>
        <v>-0.1089</v>
      </c>
      <c r="G18" s="29" t="str">
        <f aca="false">H53</f>
        <v>GOOD!</v>
      </c>
      <c r="H18" s="29" t="str">
        <f aca="false">I53</f>
        <v>ROOM FOR 574 HRS IF NEEDED</v>
      </c>
    </row>
    <row r="19" customFormat="false" ht="15" hidden="false" customHeight="false" outlineLevel="0" collapsed="false">
      <c r="A19" s="5" t="s">
        <v>97</v>
      </c>
      <c r="B19" s="28" t="n">
        <f aca="false">E56</f>
        <v>14338.5363</v>
      </c>
      <c r="C19" s="28" t="n">
        <f aca="false">E57</f>
        <v>0</v>
      </c>
      <c r="D19" s="31" t="n">
        <f aca="false">C57</f>
        <v>0</v>
      </c>
      <c r="E19" s="28" t="n">
        <f aca="false">E58</f>
        <v>-14338.5363</v>
      </c>
      <c r="F19" s="31" t="n">
        <f aca="false">C58</f>
        <v>-0.1089</v>
      </c>
      <c r="G19" s="29" t="str">
        <f aca="false">H58</f>
        <v>GOOD!</v>
      </c>
      <c r="H19" s="29" t="str">
        <f aca="false">I58</f>
        <v>ROOM FOR 574 HRS IF NEEDED</v>
      </c>
    </row>
    <row r="20" customFormat="false" ht="15" hidden="false" customHeight="false" outlineLevel="0" collapsed="false">
      <c r="A20" s="14" t="s">
        <v>98</v>
      </c>
      <c r="B20" s="28" t="n">
        <f aca="false">E61</f>
        <v>834.9363</v>
      </c>
      <c r="C20" s="28" t="n">
        <f aca="false">E62</f>
        <v>0</v>
      </c>
      <c r="D20" s="31" t="n">
        <f aca="false">C62</f>
        <v>0</v>
      </c>
      <c r="E20" s="28" t="n">
        <f aca="false">E63</f>
        <v>-834.9363</v>
      </c>
      <c r="F20" s="31" t="n">
        <f aca="false">C63</f>
        <v>-0.1089</v>
      </c>
      <c r="G20" s="29" t="str">
        <f aca="false">H63</f>
        <v>GOOD!</v>
      </c>
      <c r="H20" s="29" t="str">
        <f aca="false">I63</f>
        <v>ROOM FOR 33 HRS IF NEEDED</v>
      </c>
    </row>
    <row r="21" customFormat="false" ht="15" hidden="false" customHeight="false" outlineLevel="0" collapsed="false">
      <c r="A21" s="5" t="s">
        <v>99</v>
      </c>
      <c r="B21" s="28" t="n">
        <f aca="false">E66</f>
        <v>337.59</v>
      </c>
      <c r="C21" s="28" t="n">
        <f aca="false">E67</f>
        <v>0</v>
      </c>
      <c r="D21" s="31" t="n">
        <f aca="false">C67</f>
        <v>0</v>
      </c>
      <c r="E21" s="28" t="n">
        <f aca="false">E68</f>
        <v>-337.59</v>
      </c>
      <c r="F21" s="31" t="n">
        <f aca="false">C68</f>
        <v>-0.1089</v>
      </c>
      <c r="G21" s="29" t="str">
        <f aca="false">H68</f>
        <v>GOOD!</v>
      </c>
      <c r="H21" s="29" t="str">
        <f aca="false">I68</f>
        <v>ROOM FOR 14 HRS IF NEEDED</v>
      </c>
    </row>
    <row r="22" customFormat="false" ht="15" hidden="false" customHeight="false" outlineLevel="0" collapsed="false">
      <c r="A22" s="14" t="s">
        <v>100</v>
      </c>
      <c r="B22" s="28" t="n">
        <f aca="false">E71</f>
        <v>7586.7363</v>
      </c>
      <c r="C22" s="28" t="n">
        <f aca="false">E72</f>
        <v>0</v>
      </c>
      <c r="D22" s="31" t="n">
        <f aca="false">C72</f>
        <v>0</v>
      </c>
      <c r="E22" s="28" t="n">
        <f aca="false">E73</f>
        <v>-7586.7363</v>
      </c>
      <c r="F22" s="31" t="n">
        <f aca="false">C73</f>
        <v>-0.1089</v>
      </c>
      <c r="G22" s="29" t="str">
        <f aca="false">H73</f>
        <v>GOOD!</v>
      </c>
      <c r="H22" s="29" t="str">
        <f aca="false">I73</f>
        <v>ROOM FOR 303 HRS IF NEEDED</v>
      </c>
    </row>
    <row r="23" customFormat="false" ht="15" hidden="false" customHeight="false" outlineLevel="0" collapsed="false">
      <c r="A23" s="23" t="s">
        <v>101</v>
      </c>
      <c r="B23" s="36" t="n">
        <f aca="false">E76</f>
        <v>30948.7</v>
      </c>
      <c r="C23" s="36" t="n">
        <f aca="false">E77</f>
        <v>0</v>
      </c>
      <c r="D23" s="37" t="n">
        <f aca="false">C77</f>
        <v>0</v>
      </c>
      <c r="E23" s="36" t="n">
        <f aca="false">E78</f>
        <v>-30948.7</v>
      </c>
      <c r="F23" s="37" t="n">
        <f aca="false">C78</f>
        <v>-0.02</v>
      </c>
      <c r="G23" s="35" t="str">
        <f aca="false">H78</f>
        <v>GOOD!</v>
      </c>
      <c r="H23" s="35" t="str">
        <f aca="false">I78</f>
        <v>ROOM FOR 1,238 HRS IF NEEDED</v>
      </c>
      <c r="I23" s="21"/>
    </row>
    <row r="24" customFormat="false" ht="15" hidden="false" customHeight="false" outlineLevel="0" collapsed="false">
      <c r="A24" s="26" t="s">
        <v>102</v>
      </c>
      <c r="B24" s="36" t="n">
        <f aca="false">E82</f>
        <v>199464.3715</v>
      </c>
      <c r="C24" s="36" t="n">
        <f aca="false">E83</f>
        <v>0</v>
      </c>
      <c r="D24" s="37" t="n">
        <f aca="false">C83</f>
        <v>0</v>
      </c>
      <c r="E24" s="36" t="n">
        <f aca="false">E84</f>
        <v>-199464.3715</v>
      </c>
      <c r="F24" s="37" t="n">
        <f aca="false">C84</f>
        <v>-0.1289</v>
      </c>
      <c r="G24" s="35" t="str">
        <f aca="false">H84</f>
        <v>GOOD!</v>
      </c>
      <c r="H24" s="35" t="str">
        <f aca="false">I84</f>
        <v>ROOM FOR 7,979 HRS IF NEEDED</v>
      </c>
      <c r="I24" s="21"/>
    </row>
    <row r="28" customFormat="false" ht="15" hidden="false" customHeight="false" outlineLevel="0" collapsed="false">
      <c r="A28" s="38" t="s">
        <v>114</v>
      </c>
      <c r="B28" s="38"/>
      <c r="C28" s="38"/>
      <c r="D28" s="38"/>
      <c r="E28" s="38"/>
      <c r="F28" s="38"/>
      <c r="G28" s="38"/>
      <c r="H28" s="38"/>
      <c r="I28" s="38"/>
    </row>
    <row r="29" customFormat="false" ht="15" hidden="false" customHeight="false" outlineLevel="0" collapsed="false">
      <c r="A29" s="12"/>
      <c r="B29" s="13" t="s">
        <v>115</v>
      </c>
      <c r="C29" s="13" t="s">
        <v>28</v>
      </c>
      <c r="D29" s="13" t="s">
        <v>116</v>
      </c>
      <c r="E29" s="13" t="s">
        <v>117</v>
      </c>
      <c r="F29" s="13" t="s">
        <v>118</v>
      </c>
      <c r="G29" s="13" t="s">
        <v>51</v>
      </c>
      <c r="H29" s="13" t="s">
        <v>82</v>
      </c>
      <c r="I29" s="13" t="s">
        <v>113</v>
      </c>
    </row>
    <row r="30" customFormat="false" ht="16.5" hidden="false" customHeight="true" outlineLevel="0" collapsed="false">
      <c r="A30" s="38" t="s">
        <v>92</v>
      </c>
      <c r="B30" s="38"/>
      <c r="C30" s="38"/>
      <c r="D30" s="38"/>
      <c r="E30" s="38"/>
      <c r="F30" s="38"/>
      <c r="G30" s="38"/>
      <c r="H30" s="38"/>
      <c r="I30" s="38"/>
    </row>
    <row r="31" customFormat="false" ht="15" hidden="false" customHeight="true" outlineLevel="0" collapsed="false">
      <c r="A31" s="14" t="s">
        <v>105</v>
      </c>
      <c r="B31" s="39" t="n">
        <v>756667</v>
      </c>
      <c r="C31" s="40" t="n">
        <v>0.1089</v>
      </c>
      <c r="D31" s="41" t="n">
        <v>25</v>
      </c>
      <c r="E31" s="28" t="n">
        <f aca="false">IFERROR(B31*C31,0)</f>
        <v>82401.0363</v>
      </c>
      <c r="F31" s="42" t="n">
        <f aca="false">IFERROR(E31/D31,0)</f>
        <v>3296.041452</v>
      </c>
    </row>
    <row r="32" customFormat="false" ht="15" hidden="false" customHeight="true" outlineLevel="0" collapsed="false">
      <c r="A32" s="14" t="s">
        <v>106</v>
      </c>
      <c r="B32" s="39"/>
      <c r="C32" s="40"/>
      <c r="D32" s="41"/>
      <c r="E32" s="28" t="n">
        <f aca="false">IFERROR(B32*C32,0)</f>
        <v>0</v>
      </c>
      <c r="F32" s="42" t="n">
        <f aca="false">IFERROR(E32/D32,0)</f>
        <v>0</v>
      </c>
      <c r="G32" s="32" t="n">
        <f aca="false">IFERROR(E32/F32,0)</f>
        <v>0</v>
      </c>
    </row>
    <row r="33" customFormat="false" ht="15" hidden="false" customHeight="true" outlineLevel="0" collapsed="false">
      <c r="A33" s="18" t="s">
        <v>81</v>
      </c>
      <c r="B33" s="36" t="n">
        <f aca="false">IFERROR(B32-B31,0)</f>
        <v>-756667</v>
      </c>
      <c r="C33" s="37" t="n">
        <f aca="false">IFERROR(C32-C31,0)</f>
        <v>-0.1089</v>
      </c>
      <c r="D33" s="21"/>
      <c r="E33" s="36" t="n">
        <f aca="false">IFERROR(E32-E31,0)</f>
        <v>-82401.0363</v>
      </c>
      <c r="F33" s="21"/>
      <c r="G33" s="21"/>
      <c r="H33" s="35" t="str">
        <f aca="false">IF(E33=0,"-",IF(C33&lt;=0,"GOOD!",IF(C33&lt;=0.01,"CAUTION!","BAD!")))</f>
        <v>GOOD!</v>
      </c>
      <c r="I33" s="35" t="str">
        <f aca="false">IFERROR(IF(E33&gt;0,"TRIM "&amp;TEXT(ABS(E33)/D31,"#,##0")&amp;" HRS TO HIT TARGET","ROOM FOR "&amp;TEXT(ABS(E33)/D31,"#,##0")&amp;" HRS IF NEEDED"),"-")</f>
        <v>ROOM FOR 3,296 HRS IF NEEDED</v>
      </c>
    </row>
    <row r="35" customFormat="false" ht="16.5" hidden="false" customHeight="true" outlineLevel="0" collapsed="false">
      <c r="A35" s="38" t="s">
        <v>93</v>
      </c>
      <c r="B35" s="38"/>
      <c r="C35" s="38"/>
      <c r="D35" s="38"/>
      <c r="E35" s="38"/>
      <c r="F35" s="38"/>
      <c r="G35" s="38"/>
      <c r="H35" s="38"/>
      <c r="I35" s="38"/>
    </row>
    <row r="36" customFormat="false" ht="15" hidden="false" customHeight="true" outlineLevel="0" collapsed="false">
      <c r="A36" s="14" t="s">
        <v>105</v>
      </c>
      <c r="B36" s="39" t="n">
        <v>163000</v>
      </c>
      <c r="C36" s="40" t="n">
        <v>0.1089</v>
      </c>
      <c r="D36" s="41" t="n">
        <v>25</v>
      </c>
      <c r="E36" s="28" t="n">
        <f aca="false">IFERROR(B36*C36,0)</f>
        <v>17750.7</v>
      </c>
      <c r="F36" s="42" t="n">
        <f aca="false">IFERROR(E36/D36,0)</f>
        <v>710.028</v>
      </c>
    </row>
    <row r="37" customFormat="false" ht="15" hidden="false" customHeight="true" outlineLevel="0" collapsed="false">
      <c r="A37" s="14" t="s">
        <v>106</v>
      </c>
      <c r="B37" s="39"/>
      <c r="C37" s="40"/>
      <c r="D37" s="41"/>
      <c r="E37" s="28" t="n">
        <f aca="false">IFERROR(B37*C37,0)</f>
        <v>0</v>
      </c>
      <c r="F37" s="42" t="n">
        <f aca="false">IFERROR(E37/D37,0)</f>
        <v>0</v>
      </c>
      <c r="G37" s="32" t="n">
        <f aca="false">IFERROR(E37/F37,0)</f>
        <v>0</v>
      </c>
    </row>
    <row r="38" customFormat="false" ht="15" hidden="false" customHeight="true" outlineLevel="0" collapsed="false">
      <c r="A38" s="18" t="s">
        <v>81</v>
      </c>
      <c r="B38" s="36" t="n">
        <f aca="false">IFERROR(B37-B36,0)</f>
        <v>-163000</v>
      </c>
      <c r="C38" s="37" t="n">
        <f aca="false">IFERROR(C37-C36,0)</f>
        <v>-0.1089</v>
      </c>
      <c r="D38" s="21"/>
      <c r="E38" s="36" t="n">
        <f aca="false">IFERROR(E37-E36,0)</f>
        <v>-17750.7</v>
      </c>
      <c r="F38" s="21"/>
      <c r="G38" s="21"/>
      <c r="H38" s="35" t="str">
        <f aca="false">IF(E38=0,"-",IF(C38&lt;=0,"GOOD!",IF(C38&lt;=0.01,"CAUTION!","BAD!")))</f>
        <v>GOOD!</v>
      </c>
      <c r="I38" s="35" t="str">
        <f aca="false">IFERROR(IF(E38&gt;0,"TRIM "&amp;TEXT(ABS(E38)/D36,"#,##0")&amp;" HRS TO HIT TARGET","ROOM FOR "&amp;TEXT(ABS(E38)/D36,"#,##0")&amp;" HRS IF NEEDED"),"-")</f>
        <v>ROOM FOR 710 HRS IF NEEDED</v>
      </c>
    </row>
    <row r="40" customFormat="false" ht="16.5" hidden="false" customHeight="true" outlineLevel="0" collapsed="false">
      <c r="A40" s="38" t="s">
        <v>94</v>
      </c>
      <c r="B40" s="38"/>
      <c r="C40" s="38"/>
      <c r="D40" s="38"/>
      <c r="E40" s="38"/>
      <c r="F40" s="38"/>
      <c r="G40" s="38"/>
      <c r="H40" s="38"/>
      <c r="I40" s="38"/>
    </row>
    <row r="41" customFormat="false" ht="15" hidden="false" customHeight="true" outlineLevel="0" collapsed="false">
      <c r="A41" s="14" t="s">
        <v>105</v>
      </c>
      <c r="B41" s="39" t="n">
        <v>121000</v>
      </c>
      <c r="C41" s="40" t="n">
        <v>0.1089</v>
      </c>
      <c r="D41" s="41" t="n">
        <v>25</v>
      </c>
      <c r="E41" s="28" t="n">
        <f aca="false">IFERROR(B41*C41,0)</f>
        <v>13176.9</v>
      </c>
      <c r="F41" s="42" t="n">
        <f aca="false">IFERROR(E41/D41,0)</f>
        <v>527.076</v>
      </c>
    </row>
    <row r="42" customFormat="false" ht="15" hidden="false" customHeight="true" outlineLevel="0" collapsed="false">
      <c r="A42" s="14" t="s">
        <v>106</v>
      </c>
      <c r="B42" s="39"/>
      <c r="C42" s="40"/>
      <c r="D42" s="41"/>
      <c r="E42" s="28" t="n">
        <f aca="false">IFERROR(B42*C42,0)</f>
        <v>0</v>
      </c>
      <c r="F42" s="42" t="n">
        <f aca="false">IFERROR(E42/D42,0)</f>
        <v>0</v>
      </c>
      <c r="G42" s="32" t="n">
        <f aca="false">IFERROR(E42/F42,0)</f>
        <v>0</v>
      </c>
    </row>
    <row r="43" customFormat="false" ht="15" hidden="false" customHeight="true" outlineLevel="0" collapsed="false">
      <c r="A43" s="18" t="s">
        <v>81</v>
      </c>
      <c r="B43" s="36" t="n">
        <f aca="false">IFERROR(B42-B41,0)</f>
        <v>-121000</v>
      </c>
      <c r="C43" s="37" t="n">
        <f aca="false">IFERROR(C42-C41,0)</f>
        <v>-0.1089</v>
      </c>
      <c r="D43" s="21"/>
      <c r="E43" s="36" t="n">
        <f aca="false">IFERROR(E42-E41,0)</f>
        <v>-13176.9</v>
      </c>
      <c r="F43" s="21"/>
      <c r="G43" s="21"/>
      <c r="H43" s="35" t="str">
        <f aca="false">IF(E43=0,"-",IF(C43&lt;=0,"GOOD!",IF(C43&lt;=0.01,"CAUTION!","BAD!")))</f>
        <v>GOOD!</v>
      </c>
      <c r="I43" s="35" t="str">
        <f aca="false">IFERROR(IF(E43&gt;0,"TRIM "&amp;TEXT(ABS(E43)/D41,"#,##0")&amp;" HRS TO HIT TARGET","ROOM FOR "&amp;TEXT(ABS(E43)/D41,"#,##0")&amp;" HRS IF NEEDED"),"-")</f>
        <v>ROOM FOR 527 HRS IF NEEDED</v>
      </c>
    </row>
    <row r="45" customFormat="false" ht="16.5" hidden="false" customHeight="true" outlineLevel="0" collapsed="false">
      <c r="A45" s="38" t="s">
        <v>95</v>
      </c>
      <c r="B45" s="38"/>
      <c r="C45" s="38"/>
      <c r="D45" s="38"/>
      <c r="E45" s="38"/>
      <c r="F45" s="38"/>
      <c r="G45" s="38"/>
      <c r="H45" s="38"/>
      <c r="I45" s="38"/>
    </row>
    <row r="46" customFormat="false" ht="15" hidden="false" customHeight="true" outlineLevel="0" collapsed="false">
      <c r="A46" s="14" t="s">
        <v>105</v>
      </c>
      <c r="B46" s="39" t="n">
        <v>163000</v>
      </c>
      <c r="C46" s="40" t="n">
        <v>0.1089</v>
      </c>
      <c r="D46" s="41" t="n">
        <v>25</v>
      </c>
      <c r="E46" s="28" t="n">
        <f aca="false">IFERROR(B46*C46,0)</f>
        <v>17750.7</v>
      </c>
      <c r="F46" s="42" t="n">
        <f aca="false">IFERROR(E46/D46,0)</f>
        <v>710.028</v>
      </c>
    </row>
    <row r="47" customFormat="false" ht="15" hidden="false" customHeight="true" outlineLevel="0" collapsed="false">
      <c r="A47" s="14" t="s">
        <v>106</v>
      </c>
      <c r="B47" s="39"/>
      <c r="C47" s="40"/>
      <c r="D47" s="41"/>
      <c r="E47" s="28" t="n">
        <f aca="false">IFERROR(B47*C47,0)</f>
        <v>0</v>
      </c>
      <c r="F47" s="42" t="n">
        <f aca="false">IFERROR(E47/D47,0)</f>
        <v>0</v>
      </c>
      <c r="G47" s="32" t="n">
        <f aca="false">IFERROR(E47/F47,0)</f>
        <v>0</v>
      </c>
    </row>
    <row r="48" customFormat="false" ht="15" hidden="false" customHeight="true" outlineLevel="0" collapsed="false">
      <c r="A48" s="18" t="s">
        <v>81</v>
      </c>
      <c r="B48" s="36" t="n">
        <f aca="false">IFERROR(B47-B46,0)</f>
        <v>-163000</v>
      </c>
      <c r="C48" s="37" t="n">
        <f aca="false">IFERROR(C47-C46,0)</f>
        <v>-0.1089</v>
      </c>
      <c r="D48" s="21"/>
      <c r="E48" s="36" t="n">
        <f aca="false">IFERROR(E47-E46,0)</f>
        <v>-17750.7</v>
      </c>
      <c r="F48" s="21"/>
      <c r="G48" s="21"/>
      <c r="H48" s="35" t="str">
        <f aca="false">IF(E48=0,"-",IF(C48&lt;=0,"GOOD!",IF(C48&lt;=0.01,"CAUTION!","BAD!")))</f>
        <v>GOOD!</v>
      </c>
      <c r="I48" s="35" t="str">
        <f aca="false">IFERROR(IF(E48&gt;0,"TRIM "&amp;TEXT(ABS(E48)/D46,"#,##0")&amp;" HRS TO HIT TARGET","ROOM FOR "&amp;TEXT(ABS(E48)/D46,"#,##0")&amp;" HRS IF NEEDED"),"-")</f>
        <v>ROOM FOR 710 HRS IF NEEDED</v>
      </c>
    </row>
    <row r="50" customFormat="false" ht="16.5" hidden="false" customHeight="true" outlineLevel="0" collapsed="false">
      <c r="A50" s="38" t="s">
        <v>96</v>
      </c>
      <c r="B50" s="38"/>
      <c r="C50" s="38"/>
      <c r="D50" s="38"/>
      <c r="E50" s="38"/>
      <c r="F50" s="38"/>
      <c r="G50" s="38"/>
      <c r="H50" s="38"/>
      <c r="I50" s="38"/>
    </row>
    <row r="51" customFormat="false" ht="15" hidden="false" customHeight="true" outlineLevel="0" collapsed="false">
      <c r="A51" s="14" t="s">
        <v>105</v>
      </c>
      <c r="B51" s="39" t="n">
        <v>131667</v>
      </c>
      <c r="C51" s="40" t="n">
        <v>0.1089</v>
      </c>
      <c r="D51" s="41" t="n">
        <v>25</v>
      </c>
      <c r="E51" s="28" t="n">
        <f aca="false">IFERROR(B51*C51,0)</f>
        <v>14338.5363</v>
      </c>
      <c r="F51" s="42" t="n">
        <f aca="false">IFERROR(E51/D51,0)</f>
        <v>573.541452</v>
      </c>
    </row>
    <row r="52" customFormat="false" ht="15" hidden="false" customHeight="true" outlineLevel="0" collapsed="false">
      <c r="A52" s="14" t="s">
        <v>106</v>
      </c>
      <c r="B52" s="39"/>
      <c r="C52" s="40"/>
      <c r="D52" s="41"/>
      <c r="E52" s="28" t="n">
        <f aca="false">IFERROR(B52*C52,0)</f>
        <v>0</v>
      </c>
      <c r="F52" s="42" t="n">
        <f aca="false">IFERROR(E52/D52,0)</f>
        <v>0</v>
      </c>
      <c r="G52" s="32" t="n">
        <f aca="false">IFERROR(E52/F52,0)</f>
        <v>0</v>
      </c>
    </row>
    <row r="53" customFormat="false" ht="15" hidden="false" customHeight="true" outlineLevel="0" collapsed="false">
      <c r="A53" s="18" t="s">
        <v>81</v>
      </c>
      <c r="B53" s="36" t="n">
        <f aca="false">IFERROR(B52-B51,0)</f>
        <v>-131667</v>
      </c>
      <c r="C53" s="37" t="n">
        <f aca="false">IFERROR(C52-C51,0)</f>
        <v>-0.1089</v>
      </c>
      <c r="D53" s="21"/>
      <c r="E53" s="36" t="n">
        <f aca="false">IFERROR(E52-E51,0)</f>
        <v>-14338.5363</v>
      </c>
      <c r="F53" s="21"/>
      <c r="G53" s="21"/>
      <c r="H53" s="35" t="str">
        <f aca="false">IF(E53=0,"-",IF(C53&lt;=0,"GOOD!",IF(C53&lt;=0.01,"CAUTION!","BAD!")))</f>
        <v>GOOD!</v>
      </c>
      <c r="I53" s="35" t="str">
        <f aca="false">IFERROR(IF(E53&gt;0,"TRIM "&amp;TEXT(ABS(E53)/D51,"#,##0")&amp;" HRS TO HIT TARGET","ROOM FOR "&amp;TEXT(ABS(E53)/D51,"#,##0")&amp;" HRS IF NEEDED"),"-")</f>
        <v>ROOM FOR 574 HRS IF NEEDED</v>
      </c>
    </row>
    <row r="55" customFormat="false" ht="16.5" hidden="false" customHeight="true" outlineLevel="0" collapsed="false">
      <c r="A55" s="38" t="s">
        <v>97</v>
      </c>
      <c r="B55" s="38"/>
      <c r="C55" s="38"/>
      <c r="D55" s="38"/>
      <c r="E55" s="38"/>
      <c r="F55" s="38"/>
      <c r="G55" s="38"/>
      <c r="H55" s="38"/>
      <c r="I55" s="38"/>
    </row>
    <row r="56" customFormat="false" ht="15" hidden="false" customHeight="true" outlineLevel="0" collapsed="false">
      <c r="A56" s="14" t="s">
        <v>105</v>
      </c>
      <c r="B56" s="39" t="n">
        <v>131667</v>
      </c>
      <c r="C56" s="40" t="n">
        <v>0.1089</v>
      </c>
      <c r="D56" s="41" t="n">
        <v>25</v>
      </c>
      <c r="E56" s="28" t="n">
        <f aca="false">IFERROR(B56*C56,0)</f>
        <v>14338.5363</v>
      </c>
      <c r="F56" s="42" t="n">
        <f aca="false">IFERROR(E56/D56,0)</f>
        <v>573.541452</v>
      </c>
    </row>
    <row r="57" customFormat="false" ht="15" hidden="false" customHeight="true" outlineLevel="0" collapsed="false">
      <c r="A57" s="14" t="s">
        <v>106</v>
      </c>
      <c r="B57" s="39"/>
      <c r="C57" s="40"/>
      <c r="D57" s="41"/>
      <c r="E57" s="28" t="n">
        <f aca="false">IFERROR(B57*C57,0)</f>
        <v>0</v>
      </c>
      <c r="F57" s="42" t="n">
        <f aca="false">IFERROR(E57/D57,0)</f>
        <v>0</v>
      </c>
      <c r="G57" s="32" t="n">
        <f aca="false">IFERROR(E57/F57,0)</f>
        <v>0</v>
      </c>
    </row>
    <row r="58" customFormat="false" ht="15" hidden="false" customHeight="true" outlineLevel="0" collapsed="false">
      <c r="A58" s="18" t="s">
        <v>81</v>
      </c>
      <c r="B58" s="36" t="n">
        <f aca="false">IFERROR(B57-B56,0)</f>
        <v>-131667</v>
      </c>
      <c r="C58" s="37" t="n">
        <f aca="false">IFERROR(C57-C56,0)</f>
        <v>-0.1089</v>
      </c>
      <c r="D58" s="21"/>
      <c r="E58" s="36" t="n">
        <f aca="false">IFERROR(E57-E56,0)</f>
        <v>-14338.5363</v>
      </c>
      <c r="F58" s="21"/>
      <c r="G58" s="21"/>
      <c r="H58" s="35" t="str">
        <f aca="false">IF(E58=0,"-",IF(C58&lt;=0,"GOOD!",IF(C58&lt;=0.01,"CAUTION!","BAD!")))</f>
        <v>GOOD!</v>
      </c>
      <c r="I58" s="35" t="str">
        <f aca="false">IFERROR(IF(E58&gt;0,"TRIM "&amp;TEXT(ABS(E58)/D56,"#,##0")&amp;" HRS TO HIT TARGET","ROOM FOR "&amp;TEXT(ABS(E58)/D56,"#,##0")&amp;" HRS IF NEEDED"),"-")</f>
        <v>ROOM FOR 574 HRS IF NEEDED</v>
      </c>
    </row>
    <row r="60" customFormat="false" ht="16.5" hidden="false" customHeight="true" outlineLevel="0" collapsed="false">
      <c r="A60" s="38" t="s">
        <v>98</v>
      </c>
      <c r="B60" s="38"/>
      <c r="C60" s="38"/>
      <c r="D60" s="38"/>
      <c r="E60" s="38"/>
      <c r="F60" s="38"/>
      <c r="G60" s="38"/>
      <c r="H60" s="38"/>
      <c r="I60" s="38"/>
    </row>
    <row r="61" customFormat="false" ht="15" hidden="false" customHeight="true" outlineLevel="0" collapsed="false">
      <c r="A61" s="14" t="s">
        <v>105</v>
      </c>
      <c r="B61" s="39" t="n">
        <v>7667</v>
      </c>
      <c r="C61" s="40" t="n">
        <v>0.1089</v>
      </c>
      <c r="D61" s="41" t="n">
        <v>25</v>
      </c>
      <c r="E61" s="28" t="n">
        <f aca="false">IFERROR(B61*C61,0)</f>
        <v>834.9363</v>
      </c>
      <c r="F61" s="42" t="n">
        <f aca="false">IFERROR(E61/D61,0)</f>
        <v>33.397452</v>
      </c>
    </row>
    <row r="62" customFormat="false" ht="15" hidden="false" customHeight="true" outlineLevel="0" collapsed="false">
      <c r="A62" s="14" t="s">
        <v>106</v>
      </c>
      <c r="B62" s="39"/>
      <c r="C62" s="40"/>
      <c r="D62" s="41"/>
      <c r="E62" s="28" t="n">
        <f aca="false">IFERROR(B62*C62,0)</f>
        <v>0</v>
      </c>
      <c r="F62" s="42" t="n">
        <f aca="false">IFERROR(E62/D62,0)</f>
        <v>0</v>
      </c>
      <c r="G62" s="32" t="n">
        <f aca="false">IFERROR(E62/F62,0)</f>
        <v>0</v>
      </c>
    </row>
    <row r="63" customFormat="false" ht="15" hidden="false" customHeight="true" outlineLevel="0" collapsed="false">
      <c r="A63" s="18" t="s">
        <v>81</v>
      </c>
      <c r="B63" s="36" t="n">
        <f aca="false">IFERROR(B62-B61,0)</f>
        <v>-7667</v>
      </c>
      <c r="C63" s="37" t="n">
        <f aca="false">IFERROR(C62-C61,0)</f>
        <v>-0.1089</v>
      </c>
      <c r="D63" s="21"/>
      <c r="E63" s="36" t="n">
        <f aca="false">IFERROR(E62-E61,0)</f>
        <v>-834.9363</v>
      </c>
      <c r="F63" s="21"/>
      <c r="G63" s="21"/>
      <c r="H63" s="35" t="str">
        <f aca="false">IF(E63=0,"-",IF(C63&lt;=0,"GOOD!",IF(C63&lt;=0.01,"CAUTION!","BAD!")))</f>
        <v>GOOD!</v>
      </c>
      <c r="I63" s="35" t="str">
        <f aca="false">IFERROR(IF(E63&gt;0,"TRIM "&amp;TEXT(ABS(E63)/D61,"#,##0")&amp;" HRS TO HIT TARGET","ROOM FOR "&amp;TEXT(ABS(E63)/D61,"#,##0")&amp;" HRS IF NEEDED"),"-")</f>
        <v>ROOM FOR 33 HRS IF NEEDED</v>
      </c>
    </row>
    <row r="65" customFormat="false" ht="16.5" hidden="false" customHeight="true" outlineLevel="0" collapsed="false">
      <c r="A65" s="38" t="s">
        <v>99</v>
      </c>
      <c r="B65" s="38"/>
      <c r="C65" s="38"/>
      <c r="D65" s="38"/>
      <c r="E65" s="38"/>
      <c r="F65" s="38"/>
      <c r="G65" s="38"/>
      <c r="H65" s="38"/>
      <c r="I65" s="38"/>
    </row>
    <row r="66" customFormat="false" ht="15" hidden="false" customHeight="true" outlineLevel="0" collapsed="false">
      <c r="A66" s="14" t="s">
        <v>105</v>
      </c>
      <c r="B66" s="39" t="n">
        <v>3100</v>
      </c>
      <c r="C66" s="40" t="n">
        <v>0.1089</v>
      </c>
      <c r="D66" s="41" t="n">
        <v>25</v>
      </c>
      <c r="E66" s="28" t="n">
        <f aca="false">IFERROR(B66*C66,0)</f>
        <v>337.59</v>
      </c>
      <c r="F66" s="42" t="n">
        <f aca="false">IFERROR(E66/D66,0)</f>
        <v>13.5036</v>
      </c>
    </row>
    <row r="67" customFormat="false" ht="15" hidden="false" customHeight="true" outlineLevel="0" collapsed="false">
      <c r="A67" s="14" t="s">
        <v>106</v>
      </c>
      <c r="B67" s="39"/>
      <c r="C67" s="40"/>
      <c r="D67" s="41"/>
      <c r="E67" s="28" t="n">
        <f aca="false">IFERROR(B67*C67,0)</f>
        <v>0</v>
      </c>
      <c r="F67" s="42" t="n">
        <f aca="false">IFERROR(E67/D67,0)</f>
        <v>0</v>
      </c>
      <c r="G67" s="32" t="n">
        <f aca="false">IFERROR(E67/F67,0)</f>
        <v>0</v>
      </c>
    </row>
    <row r="68" customFormat="false" ht="15" hidden="false" customHeight="true" outlineLevel="0" collapsed="false">
      <c r="A68" s="18" t="s">
        <v>81</v>
      </c>
      <c r="B68" s="36" t="n">
        <f aca="false">IFERROR(B67-B66,0)</f>
        <v>-3100</v>
      </c>
      <c r="C68" s="37" t="n">
        <f aca="false">IFERROR(C67-C66,0)</f>
        <v>-0.1089</v>
      </c>
      <c r="D68" s="21"/>
      <c r="E68" s="36" t="n">
        <f aca="false">IFERROR(E67-E66,0)</f>
        <v>-337.59</v>
      </c>
      <c r="F68" s="21"/>
      <c r="G68" s="21"/>
      <c r="H68" s="35" t="str">
        <f aca="false">IF(E68=0,"-",IF(C68&lt;=0,"GOOD!",IF(C68&lt;=0.01,"CAUTION!","BAD!")))</f>
        <v>GOOD!</v>
      </c>
      <c r="I68" s="35" t="str">
        <f aca="false">IFERROR(IF(E68&gt;0,"TRIM "&amp;TEXT(ABS(E68)/D66,"#,##0")&amp;" HRS TO HIT TARGET","ROOM FOR "&amp;TEXT(ABS(E68)/D66,"#,##0")&amp;" HRS IF NEEDED"),"-")</f>
        <v>ROOM FOR 14 HRS IF NEEDED</v>
      </c>
    </row>
    <row r="70" customFormat="false" ht="16.5" hidden="false" customHeight="true" outlineLevel="0" collapsed="false">
      <c r="A70" s="38" t="s">
        <v>100</v>
      </c>
      <c r="B70" s="38"/>
      <c r="C70" s="38"/>
      <c r="D70" s="38"/>
      <c r="E70" s="38"/>
      <c r="F70" s="38"/>
      <c r="G70" s="38"/>
      <c r="H70" s="38"/>
      <c r="I70" s="38"/>
    </row>
    <row r="71" customFormat="false" ht="15" hidden="false" customHeight="true" outlineLevel="0" collapsed="false">
      <c r="A71" s="14" t="s">
        <v>105</v>
      </c>
      <c r="B71" s="39" t="n">
        <v>69667</v>
      </c>
      <c r="C71" s="40" t="n">
        <v>0.1089</v>
      </c>
      <c r="D71" s="41" t="n">
        <v>25</v>
      </c>
      <c r="E71" s="28" t="n">
        <f aca="false">IFERROR(B71*C71,0)</f>
        <v>7586.7363</v>
      </c>
      <c r="F71" s="42" t="n">
        <f aca="false">IFERROR(E71/D71,0)</f>
        <v>303.469452</v>
      </c>
    </row>
    <row r="72" customFormat="false" ht="15" hidden="false" customHeight="true" outlineLevel="0" collapsed="false">
      <c r="A72" s="14" t="s">
        <v>106</v>
      </c>
      <c r="B72" s="39"/>
      <c r="C72" s="40"/>
      <c r="D72" s="41"/>
      <c r="E72" s="28" t="n">
        <f aca="false">IFERROR(B72*C72,0)</f>
        <v>0</v>
      </c>
      <c r="F72" s="42" t="n">
        <f aca="false">IFERROR(E72/D72,0)</f>
        <v>0</v>
      </c>
      <c r="G72" s="32" t="n">
        <f aca="false">IFERROR(E72/F72,0)</f>
        <v>0</v>
      </c>
    </row>
    <row r="73" customFormat="false" ht="15" hidden="false" customHeight="true" outlineLevel="0" collapsed="false">
      <c r="A73" s="18" t="s">
        <v>81</v>
      </c>
      <c r="B73" s="36" t="n">
        <f aca="false">IFERROR(B72-B71,0)</f>
        <v>-69667</v>
      </c>
      <c r="C73" s="37" t="n">
        <f aca="false">IFERROR(C72-C71,0)</f>
        <v>-0.1089</v>
      </c>
      <c r="D73" s="21"/>
      <c r="E73" s="36" t="n">
        <f aca="false">IFERROR(E72-E71,0)</f>
        <v>-7586.7363</v>
      </c>
      <c r="F73" s="21"/>
      <c r="G73" s="21"/>
      <c r="H73" s="35" t="str">
        <f aca="false">IF(E73=0,"-",IF(C73&lt;=0,"GOOD!",IF(C73&lt;=0.01,"CAUTION!","BAD!")))</f>
        <v>GOOD!</v>
      </c>
      <c r="I73" s="35" t="str">
        <f aca="false">IFERROR(IF(E73&gt;0,"TRIM "&amp;TEXT(ABS(E73)/D71,"#,##0")&amp;" HRS TO HIT TARGET","ROOM FOR "&amp;TEXT(ABS(E73)/D71,"#,##0")&amp;" HRS IF NEEDED"),"-")</f>
        <v>ROOM FOR 303 HRS IF NEEDED</v>
      </c>
    </row>
    <row r="75" customFormat="false" ht="16.5" hidden="false" customHeight="true" outlineLevel="0" collapsed="false">
      <c r="A75" s="38" t="s">
        <v>119</v>
      </c>
      <c r="B75" s="38"/>
      <c r="C75" s="38"/>
      <c r="D75" s="38"/>
      <c r="E75" s="38"/>
      <c r="F75" s="38"/>
      <c r="G75" s="38"/>
      <c r="H75" s="38"/>
      <c r="I75" s="38"/>
    </row>
    <row r="76" customFormat="false" ht="15" hidden="false" customHeight="true" outlineLevel="0" collapsed="false">
      <c r="A76" s="14" t="s">
        <v>105</v>
      </c>
      <c r="C76" s="40" t="n">
        <v>0.02</v>
      </c>
      <c r="D76" s="41" t="n">
        <v>25</v>
      </c>
      <c r="E76" s="28" t="n">
        <f aca="false">IFERROR(C76*B82,0)</f>
        <v>30948.7</v>
      </c>
      <c r="F76" s="42" t="n">
        <f aca="false">IFERROR(E76/D76,0)</f>
        <v>1237.948</v>
      </c>
    </row>
    <row r="77" customFormat="false" ht="15" hidden="false" customHeight="true" outlineLevel="0" collapsed="false">
      <c r="A77" s="14" t="s">
        <v>106</v>
      </c>
      <c r="C77" s="40"/>
      <c r="D77" s="41"/>
      <c r="E77" s="28" t="n">
        <f aca="false">IFERROR(C77*B83,0)</f>
        <v>0</v>
      </c>
      <c r="F77" s="42" t="n">
        <f aca="false">IFERROR(E77/D77,0)</f>
        <v>0</v>
      </c>
      <c r="G77" s="32" t="n">
        <f aca="false">IFERROR(E77/F77,0)</f>
        <v>0</v>
      </c>
    </row>
    <row r="78" customFormat="false" ht="15" hidden="false" customHeight="true" outlineLevel="0" collapsed="false">
      <c r="A78" s="18" t="s">
        <v>81</v>
      </c>
      <c r="B78" s="21"/>
      <c r="C78" s="37" t="n">
        <f aca="false">IFERROR(C77-C76,0)</f>
        <v>-0.02</v>
      </c>
      <c r="D78" s="21"/>
      <c r="E78" s="36" t="n">
        <f aca="false">IFERROR(E77-E76,0)</f>
        <v>-30948.7</v>
      </c>
      <c r="F78" s="21"/>
      <c r="G78" s="21"/>
      <c r="H78" s="35" t="str">
        <f aca="false">IF(E78=0,"-",IF(C78&lt;=0,"GOOD!",IF(C78&lt;=0.01,"CAUTION!","BAD!")))</f>
        <v>GOOD!</v>
      </c>
      <c r="I78" s="35" t="str">
        <f aca="false">IFERROR(IF(E78&gt;0,"TRIM "&amp;TEXT(ABS(E78)/D76,"#,##0")&amp;" HRS TO HIT TARGET","ROOM FOR "&amp;TEXT(ABS(E78)/D76,"#,##0")&amp;" HRS IF NEEDED"),"-")</f>
        <v>ROOM FOR 1,238 HRS IF NEEDED</v>
      </c>
    </row>
    <row r="81" customFormat="false" ht="19.5" hidden="false" customHeight="true" outlineLevel="0" collapsed="false">
      <c r="A81" s="43" t="s">
        <v>102</v>
      </c>
      <c r="B81" s="43"/>
      <c r="C81" s="43"/>
      <c r="D81" s="43"/>
      <c r="E81" s="43"/>
      <c r="F81" s="43"/>
      <c r="G81" s="43"/>
      <c r="H81" s="43"/>
      <c r="I81" s="43"/>
    </row>
    <row r="82" customFormat="false" ht="15" hidden="false" customHeight="true" outlineLevel="0" collapsed="false">
      <c r="A82" s="12" t="s">
        <v>105</v>
      </c>
      <c r="B82" s="28" t="n">
        <f aca="false">B31+B36+B41+B46+B51+B56+B61+B66+B71</f>
        <v>1547435</v>
      </c>
      <c r="C82" s="30" t="n">
        <f aca="false">IFERROR(E82/B82,0)</f>
        <v>0.1289</v>
      </c>
      <c r="E82" s="28" t="n">
        <f aca="false">E31+E36+E41+E46+E51+E56+E61+E66+E71+E76</f>
        <v>199464.3715</v>
      </c>
      <c r="F82" s="42" t="n">
        <f aca="false">F31+F36+F41+F46+F51+F56+F61+F66+F71+F76</f>
        <v>7978.57486</v>
      </c>
    </row>
    <row r="83" customFormat="false" ht="15" hidden="false" customHeight="true" outlineLevel="0" collapsed="false">
      <c r="A83" s="12" t="s">
        <v>106</v>
      </c>
      <c r="B83" s="28" t="n">
        <f aca="false">B32+B37+B42+B47+B52+B57+B62+B67+B72</f>
        <v>0</v>
      </c>
      <c r="C83" s="30" t="n">
        <f aca="false">IFERROR(E83/B83,0)</f>
        <v>0</v>
      </c>
      <c r="E83" s="28" t="n">
        <f aca="false">E32+E37+E42+E47+E52+E57+E62+E67+E72+E77</f>
        <v>0</v>
      </c>
      <c r="F83" s="42" t="n">
        <f aca="false">F32+F37+F42+F47+F52+F57+F62+F67+F72+F77</f>
        <v>0</v>
      </c>
      <c r="G83" s="32" t="n">
        <f aca="false">IFERROR(E83/F83,0)</f>
        <v>0</v>
      </c>
    </row>
    <row r="84" customFormat="false" ht="15" hidden="false" customHeight="true" outlineLevel="0" collapsed="false">
      <c r="A84" s="26" t="s">
        <v>81</v>
      </c>
      <c r="B84" s="36" t="n">
        <f aca="false">IFERROR(B83-B82,0)</f>
        <v>-1547435</v>
      </c>
      <c r="C84" s="37" t="n">
        <f aca="false">IFERROR(C83-C82,0)</f>
        <v>-0.1289</v>
      </c>
      <c r="D84" s="21"/>
      <c r="E84" s="36" t="n">
        <f aca="false">IFERROR(E83-E82,0)</f>
        <v>-199464.3715</v>
      </c>
      <c r="F84" s="21"/>
      <c r="G84" s="21"/>
      <c r="H84" s="35" t="str">
        <f aca="false">IF(E84=0,"-",IF(C84&lt;=0,"GOOD!",IF(C84&lt;=0.01,"CAUTION!","BAD!")))</f>
        <v>GOOD!</v>
      </c>
      <c r="I84" s="35" t="str">
        <f aca="false">IFERROR(IF(E84&gt;0,"TRIM "&amp;TEXT(ABS(E84)/IFERROR(E82/F82,25),"#,##0")&amp;" HRS TO HIT TARGET","ROOM FOR "&amp;TEXT(ABS(E84)/IFERROR(E82/F82,25),"#,##0")&amp;" HRS IF NEEDED"),"-")</f>
        <v>ROOM FOR 7,979 HRS IF NEEDED</v>
      </c>
    </row>
  </sheetData>
  <mergeCells count="15">
    <mergeCell ref="A1:I1"/>
    <mergeCell ref="A3:I3"/>
    <mergeCell ref="A12:I12"/>
    <mergeCell ref="A28:I28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1:I81"/>
  </mergeCells>
  <conditionalFormatting sqref="G14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G15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G16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G17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G18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G19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G20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G21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G22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G23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G24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conditionalFormatting sqref="G25">
    <cfRule type="cellIs" priority="35" operator="equal" aboveAverage="0" equalAverage="0" bottom="0" percent="0" rank="0" text="" dxfId="0">
      <formula>"GOOD!"</formula>
    </cfRule>
    <cfRule type="cellIs" priority="36" operator="equal" aboveAverage="0" equalAverage="0" bottom="0" percent="0" rank="0" text="" dxfId="1">
      <formula>"CAUTION!"</formula>
    </cfRule>
    <cfRule type="cellIs" priority="37" operator="equal" aboveAverage="0" equalAverage="0" bottom="0" percent="0" rank="0" text="" dxfId="2">
      <formula>"BAD!"</formula>
    </cfRule>
  </conditionalFormatting>
  <conditionalFormatting sqref="H33">
    <cfRule type="cellIs" priority="38" operator="equal" aboveAverage="0" equalAverage="0" bottom="0" percent="0" rank="0" text="" dxfId="0">
      <formula>"GOOD!"</formula>
    </cfRule>
    <cfRule type="cellIs" priority="39" operator="equal" aboveAverage="0" equalAverage="0" bottom="0" percent="0" rank="0" text="" dxfId="1">
      <formula>"CAUTION!"</formula>
    </cfRule>
    <cfRule type="cellIs" priority="40" operator="equal" aboveAverage="0" equalAverage="0" bottom="0" percent="0" rank="0" text="" dxfId="2">
      <formula>"BAD!"</formula>
    </cfRule>
  </conditionalFormatting>
  <conditionalFormatting sqref="H38">
    <cfRule type="cellIs" priority="41" operator="equal" aboveAverage="0" equalAverage="0" bottom="0" percent="0" rank="0" text="" dxfId="0">
      <formula>"GOOD!"</formula>
    </cfRule>
    <cfRule type="cellIs" priority="42" operator="equal" aboveAverage="0" equalAverage="0" bottom="0" percent="0" rank="0" text="" dxfId="1">
      <formula>"CAUTION!"</formula>
    </cfRule>
    <cfRule type="cellIs" priority="43" operator="equal" aboveAverage="0" equalAverage="0" bottom="0" percent="0" rank="0" text="" dxfId="2">
      <formula>"BAD!"</formula>
    </cfRule>
  </conditionalFormatting>
  <conditionalFormatting sqref="H43">
    <cfRule type="cellIs" priority="44" operator="equal" aboveAverage="0" equalAverage="0" bottom="0" percent="0" rank="0" text="" dxfId="0">
      <formula>"GOOD!"</formula>
    </cfRule>
    <cfRule type="cellIs" priority="45" operator="equal" aboveAverage="0" equalAverage="0" bottom="0" percent="0" rank="0" text="" dxfId="1">
      <formula>"CAUTION!"</formula>
    </cfRule>
    <cfRule type="cellIs" priority="46" operator="equal" aboveAverage="0" equalAverage="0" bottom="0" percent="0" rank="0" text="" dxfId="2">
      <formula>"BAD!"</formula>
    </cfRule>
  </conditionalFormatting>
  <conditionalFormatting sqref="H48">
    <cfRule type="cellIs" priority="47" operator="equal" aboveAverage="0" equalAverage="0" bottom="0" percent="0" rank="0" text="" dxfId="0">
      <formula>"GOOD!"</formula>
    </cfRule>
    <cfRule type="cellIs" priority="48" operator="equal" aboveAverage="0" equalAverage="0" bottom="0" percent="0" rank="0" text="" dxfId="1">
      <formula>"CAUTION!"</formula>
    </cfRule>
    <cfRule type="cellIs" priority="49" operator="equal" aboveAverage="0" equalAverage="0" bottom="0" percent="0" rank="0" text="" dxfId="2">
      <formula>"BAD!"</formula>
    </cfRule>
  </conditionalFormatting>
  <conditionalFormatting sqref="H53">
    <cfRule type="cellIs" priority="50" operator="equal" aboveAverage="0" equalAverage="0" bottom="0" percent="0" rank="0" text="" dxfId="0">
      <formula>"GOOD!"</formula>
    </cfRule>
    <cfRule type="cellIs" priority="51" operator="equal" aboveAverage="0" equalAverage="0" bottom="0" percent="0" rank="0" text="" dxfId="1">
      <formula>"CAUTION!"</formula>
    </cfRule>
    <cfRule type="cellIs" priority="52" operator="equal" aboveAverage="0" equalAverage="0" bottom="0" percent="0" rank="0" text="" dxfId="2">
      <formula>"BAD!"</formula>
    </cfRule>
  </conditionalFormatting>
  <conditionalFormatting sqref="H58">
    <cfRule type="cellIs" priority="53" operator="equal" aboveAverage="0" equalAverage="0" bottom="0" percent="0" rank="0" text="" dxfId="0">
      <formula>"GOOD!"</formula>
    </cfRule>
    <cfRule type="cellIs" priority="54" operator="equal" aboveAverage="0" equalAverage="0" bottom="0" percent="0" rank="0" text="" dxfId="1">
      <formula>"CAUTION!"</formula>
    </cfRule>
    <cfRule type="cellIs" priority="55" operator="equal" aboveAverage="0" equalAverage="0" bottom="0" percent="0" rank="0" text="" dxfId="2">
      <formula>"BAD!"</formula>
    </cfRule>
  </conditionalFormatting>
  <conditionalFormatting sqref="H63">
    <cfRule type="cellIs" priority="56" operator="equal" aboveAverage="0" equalAverage="0" bottom="0" percent="0" rank="0" text="" dxfId="0">
      <formula>"GOOD!"</formula>
    </cfRule>
    <cfRule type="cellIs" priority="57" operator="equal" aboveAverage="0" equalAverage="0" bottom="0" percent="0" rank="0" text="" dxfId="1">
      <formula>"CAUTION!"</formula>
    </cfRule>
    <cfRule type="cellIs" priority="58" operator="equal" aboveAverage="0" equalAverage="0" bottom="0" percent="0" rank="0" text="" dxfId="2">
      <formula>"BAD!"</formula>
    </cfRule>
  </conditionalFormatting>
  <conditionalFormatting sqref="H68">
    <cfRule type="cellIs" priority="59" operator="equal" aboveAverage="0" equalAverage="0" bottom="0" percent="0" rank="0" text="" dxfId="0">
      <formula>"GOOD!"</formula>
    </cfRule>
    <cfRule type="cellIs" priority="60" operator="equal" aboveAverage="0" equalAverage="0" bottom="0" percent="0" rank="0" text="" dxfId="1">
      <formula>"CAUTION!"</formula>
    </cfRule>
    <cfRule type="cellIs" priority="61" operator="equal" aboveAverage="0" equalAverage="0" bottom="0" percent="0" rank="0" text="" dxfId="2">
      <formula>"BAD!"</formula>
    </cfRule>
  </conditionalFormatting>
  <conditionalFormatting sqref="H73">
    <cfRule type="cellIs" priority="62" operator="equal" aboveAverage="0" equalAverage="0" bottom="0" percent="0" rank="0" text="" dxfId="0">
      <formula>"GOOD!"</formula>
    </cfRule>
    <cfRule type="cellIs" priority="63" operator="equal" aboveAverage="0" equalAverage="0" bottom="0" percent="0" rank="0" text="" dxfId="1">
      <formula>"CAUTION!"</formula>
    </cfRule>
    <cfRule type="cellIs" priority="64" operator="equal" aboveAverage="0" equalAverage="0" bottom="0" percent="0" rank="0" text="" dxfId="2">
      <formula>"BAD!"</formula>
    </cfRule>
  </conditionalFormatting>
  <conditionalFormatting sqref="H78">
    <cfRule type="cellIs" priority="65" operator="equal" aboveAverage="0" equalAverage="0" bottom="0" percent="0" rank="0" text="" dxfId="0">
      <formula>"GOOD!"</formula>
    </cfRule>
    <cfRule type="cellIs" priority="66" operator="equal" aboveAverage="0" equalAverage="0" bottom="0" percent="0" rank="0" text="" dxfId="1">
      <formula>"CAUTION!"</formula>
    </cfRule>
    <cfRule type="cellIs" priority="67" operator="equal" aboveAverage="0" equalAverage="0" bottom="0" percent="0" rank="0" text="" dxfId="2">
      <formula>"BAD!"</formula>
    </cfRule>
  </conditionalFormatting>
  <conditionalFormatting sqref="H84">
    <cfRule type="cellIs" priority="68" operator="equal" aboveAverage="0" equalAverage="0" bottom="0" percent="0" rank="0" text="" dxfId="0">
      <formula>"GOOD!"</formula>
    </cfRule>
    <cfRule type="cellIs" priority="69" operator="equal" aboveAverage="0" equalAverage="0" bottom="0" percent="0" rank="0" text="" dxfId="1">
      <formula>"CAUTION!"</formula>
    </cfRule>
    <cfRule type="cellIs" priority="70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42"/>
  </cols>
  <sheetData>
    <row r="1" customFormat="false" ht="21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5" t="s">
        <v>124</v>
      </c>
      <c r="B3" s="44" t="n">
        <v>13</v>
      </c>
      <c r="C3" s="45" t="s">
        <v>125</v>
      </c>
    </row>
    <row r="5" customFormat="false" ht="15" hidden="false" customHeight="false" outlineLevel="0" collapsed="false">
      <c r="A5" s="11" t="s">
        <v>126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46"/>
      <c r="B6" s="38" t="s">
        <v>115</v>
      </c>
      <c r="C6" s="38"/>
      <c r="D6" s="38" t="s">
        <v>117</v>
      </c>
      <c r="E6" s="38"/>
      <c r="F6" s="38" t="s">
        <v>28</v>
      </c>
      <c r="G6" s="38"/>
      <c r="H6" s="38" t="s">
        <v>81</v>
      </c>
      <c r="I6" s="38"/>
      <c r="J6" s="47" t="s">
        <v>61</v>
      </c>
      <c r="K6" s="38" t="s">
        <v>127</v>
      </c>
      <c r="L6" s="38"/>
    </row>
    <row r="7" customFormat="false" ht="15" hidden="false" customHeight="false" outlineLevel="0" collapsed="false">
      <c r="A7" s="12" t="s">
        <v>87</v>
      </c>
      <c r="B7" s="13" t="s">
        <v>105</v>
      </c>
      <c r="C7" s="13" t="s">
        <v>106</v>
      </c>
      <c r="D7" s="13" t="s">
        <v>105</v>
      </c>
      <c r="E7" s="13" t="s">
        <v>106</v>
      </c>
      <c r="F7" s="13" t="s">
        <v>105</v>
      </c>
      <c r="G7" s="13" t="s">
        <v>106</v>
      </c>
      <c r="H7" s="13" t="s">
        <v>128</v>
      </c>
      <c r="I7" s="13" t="s">
        <v>129</v>
      </c>
      <c r="J7" s="13" t="s">
        <v>130</v>
      </c>
      <c r="K7" s="13" t="s">
        <v>82</v>
      </c>
      <c r="L7" s="13" t="s">
        <v>113</v>
      </c>
    </row>
    <row r="8" customFormat="false" ht="15" hidden="false" customHeight="false" outlineLevel="0" collapsed="false">
      <c r="A8" s="14" t="s">
        <v>92</v>
      </c>
      <c r="B8" s="15" t="n">
        <f aca="false">'MONTH 1'!B31+'MONTH 2'!B31+'MONTH 3'!B31+'MONTH 4'!B31</f>
        <v>3026668</v>
      </c>
      <c r="C8" s="15" t="n">
        <f aca="false">'MONTH 1'!B32+'MONTH 2'!B32+'MONTH 3'!B32+'MONTH 4'!B32</f>
        <v>0</v>
      </c>
      <c r="D8" s="15" t="n">
        <f aca="false">'MONTH 1'!E31+'MONTH 2'!E31+'MONTH 3'!E31+'MONTH 4'!E31</f>
        <v>329604.1452</v>
      </c>
      <c r="E8" s="15" t="n">
        <f aca="false">'MONTH 1'!E32+'MONTH 2'!E32+'MONTH 3'!E32+'MONTH 4'!E32</f>
        <v>0</v>
      </c>
      <c r="F8" s="30" t="n">
        <f aca="false">IFERROR(D8/B8,0)</f>
        <v>0.1089</v>
      </c>
      <c r="G8" s="30" t="n">
        <f aca="false">IFERROR(E8/C8,0)</f>
        <v>0</v>
      </c>
      <c r="H8" s="28" t="n">
        <f aca="false">IFERROR(E8-D8,0)</f>
        <v>-329604.1452</v>
      </c>
      <c r="I8" s="31" t="n">
        <f aca="false">IFERROR(G8-F8,0)</f>
        <v>-0.1089</v>
      </c>
      <c r="J8" s="28" t="n">
        <f aca="false">IFERROR(C8/B3,0)</f>
        <v>0</v>
      </c>
      <c r="K8" s="29" t="str">
        <f aca="false">IF(H8=0,"-",IF(I8&lt;=0,"GOOD!",IF(I8&lt;=0.01,"CAUTION!","BAD!")))</f>
        <v>GOOD!</v>
      </c>
      <c r="L8" s="29" t="str">
        <f aca="false">IFERROR(IF(H8&gt;0,"TRIM "&amp;TEXT(ABS(H8)/25,"#,##0")&amp;" HRS TO HIT TARGET","ROOM FOR "&amp;TEXT(ABS(H8)/25,"#,##0")&amp;" HRS IF NEEDED"),"-")</f>
        <v>ROOM FOR 13,184 HRS IF NEEDED</v>
      </c>
    </row>
    <row r="9" customFormat="false" ht="15" hidden="false" customHeight="false" outlineLevel="0" collapsed="false">
      <c r="A9" s="5" t="s">
        <v>93</v>
      </c>
      <c r="B9" s="15" t="n">
        <f aca="false">'MONTH 1'!B36+'MONTH 2'!B36+'MONTH 3'!B36+'MONTH 4'!B36</f>
        <v>652000</v>
      </c>
      <c r="C9" s="15" t="n">
        <f aca="false">'MONTH 1'!B37+'MONTH 2'!B37+'MONTH 3'!B37+'MONTH 4'!B37</f>
        <v>0</v>
      </c>
      <c r="D9" s="15" t="n">
        <f aca="false">'MONTH 1'!E36+'MONTH 2'!E36+'MONTH 3'!E36+'MONTH 4'!E36</f>
        <v>71002.8</v>
      </c>
      <c r="E9" s="15" t="n">
        <f aca="false">'MONTH 1'!E37+'MONTH 2'!E37+'MONTH 3'!E37+'MONTH 4'!E37</f>
        <v>0</v>
      </c>
      <c r="F9" s="30" t="n">
        <f aca="false">IFERROR(D9/B9,0)</f>
        <v>0.1089</v>
      </c>
      <c r="G9" s="30" t="n">
        <f aca="false">IFERROR(E9/C9,0)</f>
        <v>0</v>
      </c>
      <c r="H9" s="28" t="n">
        <f aca="false">IFERROR(E9-D9,0)</f>
        <v>-71002.8</v>
      </c>
      <c r="I9" s="31" t="n">
        <f aca="false">IFERROR(G9-F9,0)</f>
        <v>-0.1089</v>
      </c>
      <c r="J9" s="28" t="n">
        <f aca="false">IFERROR(C9/B3,0)</f>
        <v>0</v>
      </c>
      <c r="K9" s="29" t="str">
        <f aca="false">IF(H9=0,"-",IF(I9&lt;=0,"GOOD!",IF(I9&lt;=0.01,"CAUTION!","BAD!")))</f>
        <v>GOOD!</v>
      </c>
      <c r="L9" s="29" t="str">
        <f aca="false">IFERROR(IF(H9&gt;0,"TRIM "&amp;TEXT(ABS(H9)/25,"#,##0")&amp;" HRS TO HIT TARGET","ROOM FOR "&amp;TEXT(ABS(H9)/25,"#,##0")&amp;" HRS IF NEEDED"),"-")</f>
        <v>ROOM FOR 2,840 HRS IF NEEDED</v>
      </c>
    </row>
    <row r="10" customFormat="false" ht="15" hidden="false" customHeight="false" outlineLevel="0" collapsed="false">
      <c r="A10" s="14" t="s">
        <v>94</v>
      </c>
      <c r="B10" s="15" t="n">
        <f aca="false">'MONTH 1'!B41+'MONTH 2'!B41+'MONTH 3'!B41+'MONTH 4'!B41</f>
        <v>484000</v>
      </c>
      <c r="C10" s="15" t="n">
        <f aca="false">'MONTH 1'!B42+'MONTH 2'!B42+'MONTH 3'!B42+'MONTH 4'!B42</f>
        <v>0</v>
      </c>
      <c r="D10" s="15" t="n">
        <f aca="false">'MONTH 1'!E41+'MONTH 2'!E41+'MONTH 3'!E41+'MONTH 4'!E41</f>
        <v>52707.6</v>
      </c>
      <c r="E10" s="15" t="n">
        <f aca="false">'MONTH 1'!E42+'MONTH 2'!E42+'MONTH 3'!E42+'MONTH 4'!E42</f>
        <v>0</v>
      </c>
      <c r="F10" s="30" t="n">
        <f aca="false">IFERROR(D10/B10,0)</f>
        <v>0.1089</v>
      </c>
      <c r="G10" s="30" t="n">
        <f aca="false">IFERROR(E10/C10,0)</f>
        <v>0</v>
      </c>
      <c r="H10" s="28" t="n">
        <f aca="false">IFERROR(E10-D10,0)</f>
        <v>-52707.6</v>
      </c>
      <c r="I10" s="31" t="n">
        <f aca="false">IFERROR(G10-F10,0)</f>
        <v>-0.1089</v>
      </c>
      <c r="J10" s="28" t="n">
        <f aca="false">IFERROR(C10/B3,0)</f>
        <v>0</v>
      </c>
      <c r="K10" s="29" t="str">
        <f aca="false">IF(H10=0,"-",IF(I10&lt;=0,"GOOD!",IF(I10&lt;=0.01,"CAUTION!","BAD!")))</f>
        <v>GOOD!</v>
      </c>
      <c r="L10" s="29" t="str">
        <f aca="false">IFERROR(IF(H10&gt;0,"TRIM "&amp;TEXT(ABS(H10)/25,"#,##0")&amp;" HRS TO HIT TARGET","ROOM FOR "&amp;TEXT(ABS(H10)/25,"#,##0")&amp;" HRS IF NEEDED"),"-")</f>
        <v>ROOM FOR 2,108 HRS IF NEEDED</v>
      </c>
    </row>
    <row r="11" customFormat="false" ht="15" hidden="false" customHeight="false" outlineLevel="0" collapsed="false">
      <c r="A11" s="5" t="s">
        <v>95</v>
      </c>
      <c r="B11" s="15" t="n">
        <f aca="false">'MONTH 1'!B46+'MONTH 2'!B46+'MONTH 3'!B46+'MONTH 4'!B46</f>
        <v>652000</v>
      </c>
      <c r="C11" s="15" t="n">
        <f aca="false">'MONTH 1'!B47+'MONTH 2'!B47+'MONTH 3'!B47+'MONTH 4'!B47</f>
        <v>0</v>
      </c>
      <c r="D11" s="15" t="n">
        <f aca="false">'MONTH 1'!E46+'MONTH 2'!E46+'MONTH 3'!E46+'MONTH 4'!E46</f>
        <v>71002.8</v>
      </c>
      <c r="E11" s="15" t="n">
        <f aca="false">'MONTH 1'!E47+'MONTH 2'!E47+'MONTH 3'!E47+'MONTH 4'!E47</f>
        <v>0</v>
      </c>
      <c r="F11" s="30" t="n">
        <f aca="false">IFERROR(D11/B11,0)</f>
        <v>0.1089</v>
      </c>
      <c r="G11" s="30" t="n">
        <f aca="false">IFERROR(E11/C11,0)</f>
        <v>0</v>
      </c>
      <c r="H11" s="28" t="n">
        <f aca="false">IFERROR(E11-D11,0)</f>
        <v>-71002.8</v>
      </c>
      <c r="I11" s="31" t="n">
        <f aca="false">IFERROR(G11-F11,0)</f>
        <v>-0.1089</v>
      </c>
      <c r="J11" s="28" t="n">
        <f aca="false">IFERROR(C11/B3,0)</f>
        <v>0</v>
      </c>
      <c r="K11" s="29" t="str">
        <f aca="false">IF(H11=0,"-",IF(I11&lt;=0,"GOOD!",IF(I11&lt;=0.01,"CAUTION!","BAD!")))</f>
        <v>GOOD!</v>
      </c>
      <c r="L11" s="29" t="str">
        <f aca="false">IFERROR(IF(H11&gt;0,"TRIM "&amp;TEXT(ABS(H11)/25,"#,##0")&amp;" HRS TO HIT TARGET","ROOM FOR "&amp;TEXT(ABS(H11)/25,"#,##0")&amp;" HRS IF NEEDED"),"-")</f>
        <v>ROOM FOR 2,840 HRS IF NEEDED</v>
      </c>
    </row>
    <row r="12" customFormat="false" ht="15" hidden="false" customHeight="false" outlineLevel="0" collapsed="false">
      <c r="A12" s="14" t="s">
        <v>96</v>
      </c>
      <c r="B12" s="15" t="n">
        <f aca="false">'MONTH 1'!B51+'MONTH 2'!B51+'MONTH 3'!B51+'MONTH 4'!B51</f>
        <v>526668</v>
      </c>
      <c r="C12" s="15" t="n">
        <f aca="false">'MONTH 1'!B52+'MONTH 2'!B52+'MONTH 3'!B52+'MONTH 4'!B52</f>
        <v>0</v>
      </c>
      <c r="D12" s="15" t="n">
        <f aca="false">'MONTH 1'!E51+'MONTH 2'!E51+'MONTH 3'!E51+'MONTH 4'!E51</f>
        <v>57354.1452</v>
      </c>
      <c r="E12" s="15" t="n">
        <f aca="false">'MONTH 1'!E52+'MONTH 2'!E52+'MONTH 3'!E52+'MONTH 4'!E52</f>
        <v>0</v>
      </c>
      <c r="F12" s="30" t="n">
        <f aca="false">IFERROR(D12/B12,0)</f>
        <v>0.1089</v>
      </c>
      <c r="G12" s="30" t="n">
        <f aca="false">IFERROR(E12/C12,0)</f>
        <v>0</v>
      </c>
      <c r="H12" s="28" t="n">
        <f aca="false">IFERROR(E12-D12,0)</f>
        <v>-57354.1452</v>
      </c>
      <c r="I12" s="31" t="n">
        <f aca="false">IFERROR(G12-F12,0)</f>
        <v>-0.1089</v>
      </c>
      <c r="J12" s="28" t="n">
        <f aca="false">IFERROR(C12/B3,0)</f>
        <v>0</v>
      </c>
      <c r="K12" s="29" t="str">
        <f aca="false">IF(H12=0,"-",IF(I12&lt;=0,"GOOD!",IF(I12&lt;=0.01,"CAUTION!","BAD!")))</f>
        <v>GOOD!</v>
      </c>
      <c r="L12" s="29" t="str">
        <f aca="false">IFERROR(IF(H12&gt;0,"TRIM "&amp;TEXT(ABS(H12)/25,"#,##0")&amp;" HRS TO HIT TARGET","ROOM FOR "&amp;TEXT(ABS(H12)/25,"#,##0")&amp;" HRS IF NEEDED"),"-")</f>
        <v>ROOM FOR 2,294 HRS IF NEEDED</v>
      </c>
    </row>
    <row r="13" customFormat="false" ht="15" hidden="false" customHeight="false" outlineLevel="0" collapsed="false">
      <c r="A13" s="5" t="s">
        <v>97</v>
      </c>
      <c r="B13" s="15" t="n">
        <f aca="false">'MONTH 1'!B56+'MONTH 2'!B56+'MONTH 3'!B56+'MONTH 4'!B56</f>
        <v>526668</v>
      </c>
      <c r="C13" s="15" t="n">
        <f aca="false">'MONTH 1'!B57+'MONTH 2'!B57+'MONTH 3'!B57+'MONTH 4'!B57</f>
        <v>0</v>
      </c>
      <c r="D13" s="15" t="n">
        <f aca="false">'MONTH 1'!E56+'MONTH 2'!E56+'MONTH 3'!E56+'MONTH 4'!E56</f>
        <v>57354.1452</v>
      </c>
      <c r="E13" s="15" t="n">
        <f aca="false">'MONTH 1'!E57+'MONTH 2'!E57+'MONTH 3'!E57+'MONTH 4'!E57</f>
        <v>0</v>
      </c>
      <c r="F13" s="30" t="n">
        <f aca="false">IFERROR(D13/B13,0)</f>
        <v>0.1089</v>
      </c>
      <c r="G13" s="30" t="n">
        <f aca="false">IFERROR(E13/C13,0)</f>
        <v>0</v>
      </c>
      <c r="H13" s="28" t="n">
        <f aca="false">IFERROR(E13-D13,0)</f>
        <v>-57354.1452</v>
      </c>
      <c r="I13" s="31" t="n">
        <f aca="false">IFERROR(G13-F13,0)</f>
        <v>-0.1089</v>
      </c>
      <c r="J13" s="28" t="n">
        <f aca="false">IFERROR(C13/B3,0)</f>
        <v>0</v>
      </c>
      <c r="K13" s="29" t="str">
        <f aca="false">IF(H13=0,"-",IF(I13&lt;=0,"GOOD!",IF(I13&lt;=0.01,"CAUTION!","BAD!")))</f>
        <v>GOOD!</v>
      </c>
      <c r="L13" s="29" t="str">
        <f aca="false">IFERROR(IF(H13&gt;0,"TRIM "&amp;TEXT(ABS(H13)/25,"#,##0")&amp;" HRS TO HIT TARGET","ROOM FOR "&amp;TEXT(ABS(H13)/25,"#,##0")&amp;" HRS IF NEEDED"),"-")</f>
        <v>ROOM FOR 2,294 HRS IF NEEDED</v>
      </c>
    </row>
    <row r="14" customFormat="false" ht="15" hidden="false" customHeight="false" outlineLevel="0" collapsed="false">
      <c r="A14" s="14" t="s">
        <v>98</v>
      </c>
      <c r="B14" s="15" t="n">
        <f aca="false">'MONTH 1'!B61+'MONTH 2'!B61+'MONTH 3'!B61+'MONTH 4'!B61</f>
        <v>30668</v>
      </c>
      <c r="C14" s="15" t="n">
        <f aca="false">'MONTH 1'!B62+'MONTH 2'!B62+'MONTH 3'!B62+'MONTH 4'!B62</f>
        <v>0</v>
      </c>
      <c r="D14" s="15" t="n">
        <f aca="false">'MONTH 1'!E61+'MONTH 2'!E61+'MONTH 3'!E61+'MONTH 4'!E61</f>
        <v>3339.7452</v>
      </c>
      <c r="E14" s="15" t="n">
        <f aca="false">'MONTH 1'!E62+'MONTH 2'!E62+'MONTH 3'!E62+'MONTH 4'!E62</f>
        <v>0</v>
      </c>
      <c r="F14" s="30" t="n">
        <f aca="false">IFERROR(D14/B14,0)</f>
        <v>0.1089</v>
      </c>
      <c r="G14" s="30" t="n">
        <f aca="false">IFERROR(E14/C14,0)</f>
        <v>0</v>
      </c>
      <c r="H14" s="28" t="n">
        <f aca="false">IFERROR(E14-D14,0)</f>
        <v>-3339.7452</v>
      </c>
      <c r="I14" s="31" t="n">
        <f aca="false">IFERROR(G14-F14,0)</f>
        <v>-0.1089</v>
      </c>
      <c r="J14" s="28" t="n">
        <f aca="false">IFERROR(C14/B3,0)</f>
        <v>0</v>
      </c>
      <c r="K14" s="29" t="str">
        <f aca="false">IF(H14=0,"-",IF(I14&lt;=0,"GOOD!",IF(I14&lt;=0.01,"CAUTION!","BAD!")))</f>
        <v>GOOD!</v>
      </c>
      <c r="L14" s="29" t="str">
        <f aca="false">IFERROR(IF(H14&gt;0,"TRIM "&amp;TEXT(ABS(H14)/25,"#,##0")&amp;" HRS TO HIT TARGET","ROOM FOR "&amp;TEXT(ABS(H14)/25,"#,##0")&amp;" HRS IF NEEDED"),"-")</f>
        <v>ROOM FOR 134 HRS IF NEEDED</v>
      </c>
    </row>
    <row r="15" customFormat="false" ht="15" hidden="false" customHeight="false" outlineLevel="0" collapsed="false">
      <c r="A15" s="5" t="s">
        <v>99</v>
      </c>
      <c r="B15" s="15" t="n">
        <f aca="false">'MONTH 1'!B66+'MONTH 2'!B66+'MONTH 3'!B66+'MONTH 4'!B66</f>
        <v>12400</v>
      </c>
      <c r="C15" s="15" t="n">
        <f aca="false">'MONTH 1'!B67+'MONTH 2'!B67+'MONTH 3'!B67+'MONTH 4'!B67</f>
        <v>0</v>
      </c>
      <c r="D15" s="15" t="n">
        <f aca="false">'MONTH 1'!E66+'MONTH 2'!E66+'MONTH 3'!E66+'MONTH 4'!E66</f>
        <v>1350.36</v>
      </c>
      <c r="E15" s="15" t="n">
        <f aca="false">'MONTH 1'!E67+'MONTH 2'!E67+'MONTH 3'!E67+'MONTH 4'!E67</f>
        <v>0</v>
      </c>
      <c r="F15" s="30" t="n">
        <f aca="false">IFERROR(D15/B15,0)</f>
        <v>0.1089</v>
      </c>
      <c r="G15" s="30" t="n">
        <f aca="false">IFERROR(E15/C15,0)</f>
        <v>0</v>
      </c>
      <c r="H15" s="28" t="n">
        <f aca="false">IFERROR(E15-D15,0)</f>
        <v>-1350.36</v>
      </c>
      <c r="I15" s="31" t="n">
        <f aca="false">IFERROR(G15-F15,0)</f>
        <v>-0.1089</v>
      </c>
      <c r="J15" s="28" t="n">
        <f aca="false">IFERROR(C15/B3,0)</f>
        <v>0</v>
      </c>
      <c r="K15" s="29" t="str">
        <f aca="false">IF(H15=0,"-",IF(I15&lt;=0,"GOOD!",IF(I15&lt;=0.01,"CAUTION!","BAD!")))</f>
        <v>GOOD!</v>
      </c>
      <c r="L15" s="29" t="str">
        <f aca="false">IFERROR(IF(H15&gt;0,"TRIM "&amp;TEXT(ABS(H15)/25,"#,##0")&amp;" HRS TO HIT TARGET","ROOM FOR "&amp;TEXT(ABS(H15)/25,"#,##0")&amp;" HRS IF NEEDED"),"-")</f>
        <v>ROOM FOR 54 HRS IF NEEDED</v>
      </c>
    </row>
    <row r="16" customFormat="false" ht="15" hidden="false" customHeight="false" outlineLevel="0" collapsed="false">
      <c r="A16" s="14" t="s">
        <v>100</v>
      </c>
      <c r="B16" s="15" t="n">
        <f aca="false">'MONTH 1'!B71+'MONTH 2'!B71+'MONTH 3'!B71+'MONTH 4'!B71</f>
        <v>278668</v>
      </c>
      <c r="C16" s="15" t="n">
        <f aca="false">'MONTH 1'!B72+'MONTH 2'!B72+'MONTH 3'!B72+'MONTH 4'!B72</f>
        <v>0</v>
      </c>
      <c r="D16" s="15" t="n">
        <f aca="false">'MONTH 1'!E71+'MONTH 2'!E71+'MONTH 3'!E71+'MONTH 4'!E71</f>
        <v>30346.9452</v>
      </c>
      <c r="E16" s="15" t="n">
        <f aca="false">'MONTH 1'!E72+'MONTH 2'!E72+'MONTH 3'!E72+'MONTH 4'!E72</f>
        <v>0</v>
      </c>
      <c r="F16" s="30" t="n">
        <f aca="false">IFERROR(D16/B16,0)</f>
        <v>0.1089</v>
      </c>
      <c r="G16" s="30" t="n">
        <f aca="false">IFERROR(E16/C16,0)</f>
        <v>0</v>
      </c>
      <c r="H16" s="28" t="n">
        <f aca="false">IFERROR(E16-D16,0)</f>
        <v>-30346.9452</v>
      </c>
      <c r="I16" s="31" t="n">
        <f aca="false">IFERROR(G16-F16,0)</f>
        <v>-0.1089</v>
      </c>
      <c r="J16" s="28" t="n">
        <f aca="false">IFERROR(C16/B3,0)</f>
        <v>0</v>
      </c>
      <c r="K16" s="29" t="str">
        <f aca="false">IF(H16=0,"-",IF(I16&lt;=0,"GOOD!",IF(I16&lt;=0.01,"CAUTION!","BAD!")))</f>
        <v>GOOD!</v>
      </c>
      <c r="L16" s="29" t="str">
        <f aca="false">IFERROR(IF(H16&gt;0,"TRIM "&amp;TEXT(ABS(H16)/25,"#,##0")&amp;" HRS TO HIT TARGET","ROOM FOR "&amp;TEXT(ABS(H16)/25,"#,##0")&amp;" HRS IF NEEDED"),"-")</f>
        <v>ROOM FOR 1,214 HRS IF NEEDED</v>
      </c>
    </row>
    <row r="17" customFormat="false" ht="15" hidden="false" customHeight="false" outlineLevel="0" collapsed="false">
      <c r="A17" s="23" t="s">
        <v>101</v>
      </c>
      <c r="B17" s="48" t="s">
        <v>131</v>
      </c>
      <c r="C17" s="48" t="s">
        <v>131</v>
      </c>
      <c r="D17" s="24" t="n">
        <f aca="false">'MONTH 1'!E76+'MONTH 2'!E76+'MONTH 3'!E76+'MONTH 4'!E76</f>
        <v>123794.8</v>
      </c>
      <c r="E17" s="24" t="n">
        <f aca="false">'MONTH 1'!E77+'MONTH 2'!E77+'MONTH 3'!E77+'MONTH 4'!E77</f>
        <v>0</v>
      </c>
      <c r="F17" s="49" t="n">
        <f aca="false">IFERROR(D17/('MONTH 1'!B82+'MONTH 2'!B82+'MONTH 3'!B82+'MONTH 4'!B82),0)</f>
        <v>0.02</v>
      </c>
      <c r="G17" s="49" t="n">
        <f aca="false">IFERROR(E17/('MONTH 1'!B83+'MONTH 2'!B83+'MONTH 3'!B83+'MONTH 4'!B83),0)</f>
        <v>0</v>
      </c>
      <c r="H17" s="36" t="n">
        <f aca="false">IFERROR(E17-D17,0)</f>
        <v>-123794.8</v>
      </c>
      <c r="I17" s="37" t="n">
        <f aca="false">IFERROR(G17-F17,0)</f>
        <v>-0.02</v>
      </c>
      <c r="J17" s="48" t="s">
        <v>131</v>
      </c>
      <c r="K17" s="35" t="str">
        <f aca="false">IF(H17=0,"-",IF(I17&lt;=0,"GOOD!",IF(I17&lt;=0.01,"CAUTION!","BAD!")))</f>
        <v>GOOD!</v>
      </c>
      <c r="L17" s="35" t="str">
        <f aca="false">IFERROR(IF(H17&gt;0,"TRIM "&amp;TEXT(ABS(H17)/25,"#,##0")&amp;" HRS TO HIT TARGET","ROOM FOR "&amp;TEXT(ABS(H17)/25,"#,##0")&amp;" HRS IF NEEDED"),"-")</f>
        <v>ROOM FOR 4,952 HRS IF NEEDED</v>
      </c>
    </row>
    <row r="19" customFormat="false" ht="15" hidden="false" customHeight="false" outlineLevel="0" collapsed="false">
      <c r="A19" s="26" t="s">
        <v>102</v>
      </c>
      <c r="B19" s="24" t="n">
        <f aca="false">('MONTH 1'!B82+'MONTH 2'!B82+'MONTH 3'!B82+'MONTH 4'!B82)</f>
        <v>6189740</v>
      </c>
      <c r="C19" s="24" t="n">
        <f aca="false">('MONTH 1'!B83+'MONTH 2'!B83+'MONTH 3'!B83+'MONTH 4'!B83)</f>
        <v>0</v>
      </c>
      <c r="D19" s="24" t="n">
        <f aca="false">('MONTH 1'!E82+'MONTH 2'!E82+'MONTH 3'!E82+'MONTH 4'!E82)</f>
        <v>797857.486</v>
      </c>
      <c r="E19" s="24" t="n">
        <f aca="false">('MONTH 1'!E83+'MONTH 2'!E83+'MONTH 3'!E83+'MONTH 4'!E83)</f>
        <v>0</v>
      </c>
      <c r="F19" s="49" t="n">
        <f aca="false">IFERROR(D19/B19,0)</f>
        <v>0.1289</v>
      </c>
      <c r="G19" s="49" t="n">
        <f aca="false">IFERROR(E19/C19,0)</f>
        <v>0</v>
      </c>
      <c r="H19" s="36" t="n">
        <f aca="false">IFERROR(E19-D19,0)</f>
        <v>-797857.486</v>
      </c>
      <c r="I19" s="37" t="n">
        <f aca="false">IFERROR(G19-F19,0)</f>
        <v>-0.1289</v>
      </c>
      <c r="J19" s="36" t="n">
        <f aca="false">IFERROR(C19/B3,0)</f>
        <v>0</v>
      </c>
      <c r="K19" s="35" t="str">
        <f aca="false">IF(H19=0,"-",IF(I19&lt;=0,"GOOD!",IF(I19&lt;=0.01,"CAUTION!","BAD!")))</f>
        <v>GOOD!</v>
      </c>
      <c r="L19" s="35" t="str">
        <f aca="false">IFERROR(IF(H19&gt;0,"TRIM "&amp;TEXT(ABS(H19)/IFERROR(('MONTH 1'!E82+'MONTH 2'!E82+'MONTH 3'!E82+'MONTH 4'!E82)/('MONTH 1'!F82+'MONTH 2'!F82+'MONTH 3'!F82+'MONTH 4'!F82),25),"#,##0")&amp;" HRS TO HIT TARGET","ROOM FOR "&amp;TEXT(ABS(H19)/IFERROR(('MONTH 1'!E82+'MONTH 2'!E82+'MONTH 3'!E82+'MONTH 4'!E82)/('MONTH 1'!F82+'MONTH 2'!F82+'MONTH 3'!F82+'MONTH 4'!F82),25),"#,##0")&amp;" HRS IF NEEDED"),"-")</f>
        <v>ROOM FOR 31,914 HRS IF NEEDED</v>
      </c>
    </row>
    <row r="21" customFormat="false" ht="15" hidden="false" customHeight="false" outlineLevel="0" collapsed="false">
      <c r="A21" s="5" t="s">
        <v>132</v>
      </c>
      <c r="C21" s="32" t="n">
        <f aca="false">IFERROR(('MONTH 1'!E83+'MONTH 2'!E83+'MONTH 3'!E83+'MONTH 4'!E83)/('MONTH 1'!F83+'MONTH 2'!F83+'MONTH 3'!F83+'MONTH 4'!F83),0)</f>
        <v>0</v>
      </c>
    </row>
  </sheetData>
  <mergeCells count="7">
    <mergeCell ref="A1:L1"/>
    <mergeCell ref="A5:L5"/>
    <mergeCell ref="B6:C6"/>
    <mergeCell ref="D6:E6"/>
    <mergeCell ref="F6:G6"/>
    <mergeCell ref="H6:I6"/>
    <mergeCell ref="K6:L6"/>
  </mergeCells>
  <conditionalFormatting sqref="K8">
    <cfRule type="cellIs" priority="2" operator="equal" aboveAverage="0" equalAverage="0" bottom="0" percent="0" rank="0" text="" dxfId="0">
      <formula>"GOOD!"</formula>
    </cfRule>
    <cfRule type="cellIs" priority="3" operator="equal" aboveAverage="0" equalAverage="0" bottom="0" percent="0" rank="0" text="" dxfId="1">
      <formula>"CAUTION!"</formula>
    </cfRule>
    <cfRule type="cellIs" priority="4" operator="equal" aboveAverage="0" equalAverage="0" bottom="0" percent="0" rank="0" text="" dxfId="2">
      <formula>"BAD!"</formula>
    </cfRule>
  </conditionalFormatting>
  <conditionalFormatting sqref="K9">
    <cfRule type="cellIs" priority="5" operator="equal" aboveAverage="0" equalAverage="0" bottom="0" percent="0" rank="0" text="" dxfId="0">
      <formula>"GOOD!"</formula>
    </cfRule>
    <cfRule type="cellIs" priority="6" operator="equal" aboveAverage="0" equalAverage="0" bottom="0" percent="0" rank="0" text="" dxfId="1">
      <formula>"CAUTION!"</formula>
    </cfRule>
    <cfRule type="cellIs" priority="7" operator="equal" aboveAverage="0" equalAverage="0" bottom="0" percent="0" rank="0" text="" dxfId="2">
      <formula>"BAD!"</formula>
    </cfRule>
  </conditionalFormatting>
  <conditionalFormatting sqref="K10">
    <cfRule type="cellIs" priority="8" operator="equal" aboveAverage="0" equalAverage="0" bottom="0" percent="0" rank="0" text="" dxfId="0">
      <formula>"GOOD!"</formula>
    </cfRule>
    <cfRule type="cellIs" priority="9" operator="equal" aboveAverage="0" equalAverage="0" bottom="0" percent="0" rank="0" text="" dxfId="1">
      <formula>"CAUTION!"</formula>
    </cfRule>
    <cfRule type="cellIs" priority="10" operator="equal" aboveAverage="0" equalAverage="0" bottom="0" percent="0" rank="0" text="" dxfId="2">
      <formula>"BAD!"</formula>
    </cfRule>
  </conditionalFormatting>
  <conditionalFormatting sqref="K11">
    <cfRule type="cellIs" priority="11" operator="equal" aboveAverage="0" equalAverage="0" bottom="0" percent="0" rank="0" text="" dxfId="0">
      <formula>"GOOD!"</formula>
    </cfRule>
    <cfRule type="cellIs" priority="12" operator="equal" aboveAverage="0" equalAverage="0" bottom="0" percent="0" rank="0" text="" dxfId="1">
      <formula>"CAUTION!"</formula>
    </cfRule>
    <cfRule type="cellIs" priority="13" operator="equal" aboveAverage="0" equalAverage="0" bottom="0" percent="0" rank="0" text="" dxfId="2">
      <formula>"BAD!"</formula>
    </cfRule>
  </conditionalFormatting>
  <conditionalFormatting sqref="K12">
    <cfRule type="cellIs" priority="14" operator="equal" aboveAverage="0" equalAverage="0" bottom="0" percent="0" rank="0" text="" dxfId="0">
      <formula>"GOOD!"</formula>
    </cfRule>
    <cfRule type="cellIs" priority="15" operator="equal" aboveAverage="0" equalAverage="0" bottom="0" percent="0" rank="0" text="" dxfId="1">
      <formula>"CAUTION!"</formula>
    </cfRule>
    <cfRule type="cellIs" priority="16" operator="equal" aboveAverage="0" equalAverage="0" bottom="0" percent="0" rank="0" text="" dxfId="2">
      <formula>"BAD!"</formula>
    </cfRule>
  </conditionalFormatting>
  <conditionalFormatting sqref="K13">
    <cfRule type="cellIs" priority="17" operator="equal" aboveAverage="0" equalAverage="0" bottom="0" percent="0" rank="0" text="" dxfId="0">
      <formula>"GOOD!"</formula>
    </cfRule>
    <cfRule type="cellIs" priority="18" operator="equal" aboveAverage="0" equalAverage="0" bottom="0" percent="0" rank="0" text="" dxfId="1">
      <formula>"CAUTION!"</formula>
    </cfRule>
    <cfRule type="cellIs" priority="19" operator="equal" aboveAverage="0" equalAverage="0" bottom="0" percent="0" rank="0" text="" dxfId="2">
      <formula>"BAD!"</formula>
    </cfRule>
  </conditionalFormatting>
  <conditionalFormatting sqref="K14">
    <cfRule type="cellIs" priority="20" operator="equal" aboveAverage="0" equalAverage="0" bottom="0" percent="0" rank="0" text="" dxfId="0">
      <formula>"GOOD!"</formula>
    </cfRule>
    <cfRule type="cellIs" priority="21" operator="equal" aboveAverage="0" equalAverage="0" bottom="0" percent="0" rank="0" text="" dxfId="1">
      <formula>"CAUTION!"</formula>
    </cfRule>
    <cfRule type="cellIs" priority="22" operator="equal" aboveAverage="0" equalAverage="0" bottom="0" percent="0" rank="0" text="" dxfId="2">
      <formula>"BAD!"</formula>
    </cfRule>
  </conditionalFormatting>
  <conditionalFormatting sqref="K15">
    <cfRule type="cellIs" priority="23" operator="equal" aboveAverage="0" equalAverage="0" bottom="0" percent="0" rank="0" text="" dxfId="0">
      <formula>"GOOD!"</formula>
    </cfRule>
    <cfRule type="cellIs" priority="24" operator="equal" aboveAverage="0" equalAverage="0" bottom="0" percent="0" rank="0" text="" dxfId="1">
      <formula>"CAUTION!"</formula>
    </cfRule>
    <cfRule type="cellIs" priority="25" operator="equal" aboveAverage="0" equalAverage="0" bottom="0" percent="0" rank="0" text="" dxfId="2">
      <formula>"BAD!"</formula>
    </cfRule>
  </conditionalFormatting>
  <conditionalFormatting sqref="K16">
    <cfRule type="cellIs" priority="26" operator="equal" aboveAverage="0" equalAverage="0" bottom="0" percent="0" rank="0" text="" dxfId="0">
      <formula>"GOOD!"</formula>
    </cfRule>
    <cfRule type="cellIs" priority="27" operator="equal" aboveAverage="0" equalAverage="0" bottom="0" percent="0" rank="0" text="" dxfId="1">
      <formula>"CAUTION!"</formula>
    </cfRule>
    <cfRule type="cellIs" priority="28" operator="equal" aboveAverage="0" equalAverage="0" bottom="0" percent="0" rank="0" text="" dxfId="2">
      <formula>"BAD!"</formula>
    </cfRule>
  </conditionalFormatting>
  <conditionalFormatting sqref="K17">
    <cfRule type="cellIs" priority="29" operator="equal" aboveAverage="0" equalAverage="0" bottom="0" percent="0" rank="0" text="" dxfId="0">
      <formula>"GOOD!"</formula>
    </cfRule>
    <cfRule type="cellIs" priority="30" operator="equal" aboveAverage="0" equalAverage="0" bottom="0" percent="0" rank="0" text="" dxfId="1">
      <formula>"CAUTION!"</formula>
    </cfRule>
    <cfRule type="cellIs" priority="31" operator="equal" aboveAverage="0" equalAverage="0" bottom="0" percent="0" rank="0" text="" dxfId="2">
      <formula>"BAD!"</formula>
    </cfRule>
  </conditionalFormatting>
  <conditionalFormatting sqref="K19">
    <cfRule type="cellIs" priority="32" operator="equal" aboveAverage="0" equalAverage="0" bottom="0" percent="0" rank="0" text="" dxfId="0">
      <formula>"GOOD!"</formula>
    </cfRule>
    <cfRule type="cellIs" priority="33" operator="equal" aboveAverage="0" equalAverage="0" bottom="0" percent="0" rank="0" text="" dxfId="1">
      <formula>"CAUTION!"</formula>
    </cfRule>
    <cfRule type="cellIs" priority="34" operator="equal" aboveAverage="0" equalAverage="0" bottom="0" percent="0" rank="0" text="" dxfId="2">
      <formula>"BAD!"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2026-06-14T18:04:10Z</dcterms:created>
  <dc:creator>openpyxl</dc:creator>
  <dc:description/>
  <dc:language>en-US</dc:language>
  <cp:lastModifiedBy/>
  <dcterms:modified xsi:type="dcterms:W3CDTF">2026-06-14T18:04:10Z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